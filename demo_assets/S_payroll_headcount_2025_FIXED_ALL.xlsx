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 Dec 2025" sheetId="1" r:id="rId1"/>
    <sheet name="Summary" sheetId="2" r:id="rId2"/>
    <sheet name="Notes" sheetId="3" r:id="rId3"/>
  </sheets>
  <definedNames>
    <definedName name="_xlnm._FilterDatabase" localSheetId="0" hidden="1">'Payroll Dec 2025'!A5:N48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General"/>
    <numFmt numFmtId="165" formatCode="dd/mm/yyyy"/>
    <numFmt numFmtId="166" formatCode="#,##0.00"/>
    <numFmt numFmtId="167" formatCode="General"/>
    <numFmt numFmtId="168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workbookViewId="0" rightToLeft="0"/>
  </sheetViews>
  <sheetData>
    <row r="1">
      <c r="A1" s="1" t="str">
        <v>SINARAN PRECISION SDN BHD</v>
      </c>
    </row>
    <row r="2">
      <c r="A2" s="1" t="str">
        <v>Payroll &amp; Headcount Register - Month: December 2025</v>
      </c>
    </row>
    <row r="3">
      <c r="A3" s="1" t="str">
        <v>Extracted from: HR shared drive \\SPSB-FS01\HR\Payroll\2025  |  Last edited: 08/01/2026 by S. Aishah</v>
      </c>
    </row>
    <row r="5">
      <c r="A5" s="1" t="str">
        <v>Staff ID</v>
      </c>
      <c r="B5" s="1" t="str">
        <v>Employee Name</v>
      </c>
      <c r="C5" s="1" t="str">
        <v>Department</v>
      </c>
      <c r="D5" s="1" t="str">
        <v>Gender</v>
      </c>
      <c r="E5" s="1" t="str">
        <v>Nationality</v>
      </c>
      <c r="F5" s="1" t="str">
        <v>Employment Type</v>
      </c>
      <c r="G5" s="1" t="str">
        <v>Date Joined</v>
      </c>
      <c r="H5" s="1" t="str">
        <v>Date Left</v>
      </c>
      <c r="I5" s="1" t="str">
        <v>Basic Salary (RM)</v>
      </c>
      <c r="J5" s="1" t="str">
        <v>Fixed Allowance (RM)</v>
      </c>
      <c r="K5" s="1" t="str">
        <v>EPF Employer (RM)</v>
      </c>
      <c r="L5" s="1" t="str">
        <v>SOCSO Employer (RM)</v>
      </c>
      <c r="M5" s="1" t="str">
        <v>Training Hours 2025</v>
      </c>
      <c r="N5" s="1" t="str">
        <v>Safety Induction Completed</v>
      </c>
    </row>
    <row r="6">
      <c r="A6" s="1" t="str">
        <v>SP-0001</v>
      </c>
      <c r="B6" s="1" t="str">
        <v>Ahmad Faizal bin Osman</v>
      </c>
      <c r="C6" s="1" t="str">
        <v>Production</v>
      </c>
      <c r="D6" s="1" t="str">
        <v>M</v>
      </c>
      <c r="E6" s="1" t="str">
        <v>Malaysian</v>
      </c>
      <c r="F6" s="1" t="str">
        <v>Permanent</v>
      </c>
      <c r="G6" s="2">
        <v>42443</v>
      </c>
      <c r="I6" s="3">
        <v>3200</v>
      </c>
      <c r="J6" s="3">
        <v>350</v>
      </c>
      <c r="K6" s="3">
        <f>ROUND((I6+J6)*0.13,2)</f>
        <v>461.5</v>
      </c>
      <c r="L6" s="3">
        <f>ROUND((I6+J6)*0.0175,2)</f>
        <v>62.13</v>
      </c>
      <c r="M6" s="1">
        <v>12</v>
      </c>
      <c r="N6" s="1" t="str">
        <v>Yes</v>
      </c>
    </row>
    <row r="7">
      <c r="A7" s="1" t="str">
        <v>SP-0002</v>
      </c>
      <c r="B7" s="1" t="str">
        <v>Lim Wei Ling</v>
      </c>
      <c r="C7" s="1" t="str">
        <v>Admin</v>
      </c>
      <c r="D7" s="1" t="str">
        <v>F</v>
      </c>
      <c r="E7" s="1" t="str">
        <v>Malaysian</v>
      </c>
      <c r="F7" s="1" t="str">
        <v>Permanent</v>
      </c>
      <c r="G7" s="2">
        <v>42887</v>
      </c>
      <c r="I7" s="3">
        <v>3800</v>
      </c>
      <c r="J7" s="3">
        <v>400</v>
      </c>
      <c r="K7" s="3">
        <f>ROUND((I7+J7)*0.13,2)</f>
        <v>546</v>
      </c>
      <c r="L7" s="3">
        <f>ROUND((I7+J7)*0.0175,2)</f>
        <v>73.5</v>
      </c>
      <c r="M7" s="1">
        <v>8</v>
      </c>
      <c r="N7" s="1" t="str">
        <v>Yes</v>
      </c>
    </row>
    <row r="8">
      <c r="A8" s="1" t="str">
        <v>SP-0003</v>
      </c>
      <c r="B8" s="1" t="str">
        <v>Raj Kumar a/l Subramaniam</v>
      </c>
      <c r="C8" s="1" t="str">
        <v>Production</v>
      </c>
      <c r="D8" s="1" t="str">
        <v>M</v>
      </c>
      <c r="E8" s="1" t="str">
        <v>Malaysian</v>
      </c>
      <c r="F8" s="1" t="str">
        <v>Permanent</v>
      </c>
      <c r="G8" s="2">
        <v>42023</v>
      </c>
      <c r="I8" s="3">
        <v>3450</v>
      </c>
      <c r="J8" s="3">
        <v>350</v>
      </c>
      <c r="K8" s="3">
        <f>ROUND((I8+J8)*0.13,2)</f>
        <v>494</v>
      </c>
      <c r="L8" s="3">
        <f>ROUND((I8+J8)*0.0175,2)</f>
        <v>66.5</v>
      </c>
      <c r="M8" s="1">
        <v>8</v>
      </c>
      <c r="N8" s="1" t="str">
        <v>Yes</v>
      </c>
    </row>
    <row r="9">
      <c r="A9" s="1" t="str">
        <v>SP-0004</v>
      </c>
      <c r="B9" s="1" t="str">
        <v>Nurul Aina binti Zulkifli</v>
      </c>
      <c r="C9" s="1" t="str">
        <v>QA</v>
      </c>
      <c r="D9" s="1" t="str">
        <v>F</v>
      </c>
      <c r="E9" s="1" t="str">
        <v>Malaysian</v>
      </c>
      <c r="F9" s="1" t="str">
        <v>Permanent</v>
      </c>
      <c r="G9" s="2">
        <v>43710</v>
      </c>
      <c r="I9" s="3">
        <v>3100</v>
      </c>
      <c r="J9" s="3">
        <v>300</v>
      </c>
      <c r="K9" s="3">
        <f>ROUND((I9+J9)*0.13,2)</f>
        <v>442</v>
      </c>
      <c r="L9" s="3">
        <f>ROUND((I9+J9)*0.0175,2)</f>
        <v>59.5</v>
      </c>
      <c r="M9" s="1">
        <v>16</v>
      </c>
      <c r="N9" s="1" t="str">
        <v>Yes</v>
      </c>
    </row>
    <row r="10">
      <c r="A10" s="1" t="str">
        <v>SP-0005</v>
      </c>
      <c r="B10" s="1" t="str">
        <v>Tan Chee Keong</v>
      </c>
      <c r="C10" s="1" t="str">
        <v>Production</v>
      </c>
      <c r="D10" s="1" t="str">
        <v>M</v>
      </c>
      <c r="E10" s="1" t="str">
        <v>Malaysian</v>
      </c>
      <c r="F10" s="1" t="str">
        <v>Permanent</v>
      </c>
      <c r="G10" s="2">
        <v>41736</v>
      </c>
      <c r="I10" s="3">
        <v>4100</v>
      </c>
      <c r="J10" s="3">
        <v>450</v>
      </c>
      <c r="K10" s="3">
        <f>ROUND((I10+J10)*0.13,2)</f>
        <v>591.5</v>
      </c>
      <c r="L10" s="3">
        <f>ROUND((I10+J10)*0.0175,2)</f>
        <v>79.63</v>
      </c>
      <c r="M10" s="1">
        <v>6</v>
      </c>
      <c r="N10" s="1" t="str">
        <v>Yes</v>
      </c>
    </row>
    <row r="11">
      <c r="A11" s="1" t="str">
        <v>SP-0006</v>
      </c>
      <c r="B11" s="1" t="str">
        <v>Mohd Hafiz bin Ismail</v>
      </c>
      <c r="C11" s="1" t="str">
        <v>PRODUCTION</v>
      </c>
      <c r="D11" s="1" t="str">
        <v>M</v>
      </c>
      <c r="E11" s="1" t="str">
        <v>Malaysian</v>
      </c>
      <c r="F11" s="1" t="str">
        <v>Permanent</v>
      </c>
      <c r="G11" s="2">
        <v>43416</v>
      </c>
      <c r="I11" s="3">
        <v>2950</v>
      </c>
      <c r="J11" s="3">
        <v>300</v>
      </c>
      <c r="K11" s="3">
        <f>ROUND((I11+J11)*0.13,2)</f>
        <v>422.5</v>
      </c>
      <c r="L11" s="3">
        <f>ROUND((I11+J11)*0.0175,2)</f>
        <v>56.88</v>
      </c>
      <c r="M11" s="1">
        <v>6</v>
      </c>
      <c r="N11" s="1" t="str">
        <v>Yes</v>
      </c>
    </row>
    <row r="12">
      <c r="A12" s="1" t="str">
        <v>SP-0007</v>
      </c>
      <c r="B12" s="1" t="str">
        <v>Siti Aishah binti Rahman</v>
      </c>
      <c r="C12" s="1" t="str">
        <v>HR</v>
      </c>
      <c r="D12" s="1" t="str">
        <v>F</v>
      </c>
      <c r="E12" s="1" t="str">
        <v>Malaysian</v>
      </c>
      <c r="F12" s="1" t="str">
        <v>Permanent</v>
      </c>
      <c r="G12" s="2">
        <v>43878</v>
      </c>
      <c r="I12" s="3">
        <v>4200</v>
      </c>
      <c r="J12" s="3">
        <v>500</v>
      </c>
      <c r="K12" s="3">
        <f>ROUND((I12+J12)*0.13,2)</f>
        <v>611</v>
      </c>
      <c r="L12" s="3">
        <f>ROUND((I12+J12)*0.0175,2)</f>
        <v>82.25</v>
      </c>
      <c r="M12" s="1">
        <v>24</v>
      </c>
      <c r="N12" s="1" t="str">
        <v>Yes</v>
      </c>
    </row>
    <row r="13">
      <c r="A13" s="1" t="str">
        <v>SP-0008</v>
      </c>
      <c r="B13" s="1" t="str">
        <v>Kavitha a/p Ganesan</v>
      </c>
      <c r="C13" s="1" t="str">
        <v>Finance</v>
      </c>
      <c r="D13" s="1" t="str">
        <v>F</v>
      </c>
      <c r="E13" s="1" t="str">
        <v>Malaysian</v>
      </c>
      <c r="F13" s="1" t="str">
        <v>Permanent</v>
      </c>
      <c r="G13" s="2">
        <v>43591</v>
      </c>
      <c r="I13" s="3">
        <v>4500</v>
      </c>
      <c r="J13" s="3">
        <v>500</v>
      </c>
      <c r="K13" s="3">
        <f>ROUND((I13+J13)*0.13,2)</f>
        <v>650</v>
      </c>
      <c r="L13" s="3">
        <f>ROUND((I13+J13)*0.0175,2)</f>
        <v>87.5</v>
      </c>
      <c r="M13" s="1">
        <v>20</v>
      </c>
      <c r="N13" s="1" t="str">
        <v>Yes</v>
      </c>
    </row>
    <row r="14">
      <c r="A14" s="1" t="str">
        <v>SP-0009</v>
      </c>
      <c r="B14" s="1" t="str">
        <v>Md Rasel Hossain</v>
      </c>
      <c r="C14" s="1" t="str">
        <v>Production</v>
      </c>
      <c r="D14" s="1" t="str">
        <v>M</v>
      </c>
      <c r="E14" s="1" t="str">
        <v>Bangladeshi</v>
      </c>
      <c r="F14" s="1" t="str">
        <v>Contract</v>
      </c>
      <c r="G14" s="2">
        <v>44788</v>
      </c>
      <c r="I14" s="3">
        <v>1700</v>
      </c>
      <c r="J14" s="3">
        <v>200</v>
      </c>
      <c r="K14" s="3">
        <f>ROUND((I14+J14)*0.13,2)</f>
        <v>247</v>
      </c>
      <c r="L14" s="3">
        <f>ROUND((I14+J14)*0.0175,2)</f>
        <v>33.25</v>
      </c>
      <c r="M14" s="1">
        <v>12</v>
      </c>
      <c r="N14" s="1" t="str">
        <v>Yes</v>
      </c>
    </row>
    <row r="15">
      <c r="A15" s="1" t="str">
        <v>SP-0010</v>
      </c>
      <c r="B15" s="1" t="str">
        <v>Abdul Karim Miah</v>
      </c>
      <c r="C15" s="1" t="str">
        <v>Production</v>
      </c>
      <c r="D15" s="1" t="str">
        <v>M</v>
      </c>
      <c r="E15" s="1" t="str">
        <v>Bangladeshi</v>
      </c>
      <c r="F15" s="1" t="str">
        <v>Contract</v>
      </c>
      <c r="G15" s="2">
        <v>44788</v>
      </c>
      <c r="I15" s="3">
        <v>1750</v>
      </c>
      <c r="J15" s="3">
        <v>200</v>
      </c>
      <c r="K15" s="3">
        <f>ROUND((I15+J15)*0.13,2)</f>
        <v>253.5</v>
      </c>
      <c r="L15" s="3">
        <f>ROUND((I15+J15)*0.0175,2)</f>
        <v>34.13</v>
      </c>
      <c r="M15" s="1">
        <v>4</v>
      </c>
      <c r="N15" s="1" t="str">
        <v>Yes</v>
      </c>
    </row>
    <row r="16">
      <c r="A16" s="1" t="str">
        <v>SP-0011</v>
      </c>
      <c r="B16" s="1" t="str">
        <v>Wong Mei Chen</v>
      </c>
      <c r="C16" s="1" t="str">
        <v>Admin</v>
      </c>
      <c r="D16" s="1" t="str">
        <v>F</v>
      </c>
      <c r="E16" s="1" t="str">
        <v>Malaysian</v>
      </c>
      <c r="F16" s="1" t="str">
        <v>Permanent</v>
      </c>
      <c r="G16" s="2">
        <v>44207</v>
      </c>
      <c r="I16" s="3">
        <v>3300</v>
      </c>
      <c r="J16" s="3">
        <v>350</v>
      </c>
      <c r="K16" s="3">
        <f>ROUND((I16+J16)*0.13,2)</f>
        <v>474.5</v>
      </c>
      <c r="L16" s="3">
        <f>ROUND((I16+J16)*0.0175,2)</f>
        <v>63.88</v>
      </c>
      <c r="M16" s="1">
        <v>10</v>
      </c>
      <c r="N16" s="1" t="str">
        <v>Yes</v>
      </c>
    </row>
    <row r="17">
      <c r="A17" s="1" t="str">
        <v>SP-0012</v>
      </c>
      <c r="B17" s="1" t="str">
        <v>Zulkarnain bin Yusof</v>
      </c>
      <c r="C17" s="1" t="str">
        <v>Maintenance</v>
      </c>
      <c r="D17" s="1" t="str">
        <v>M</v>
      </c>
      <c r="E17" s="1" t="str">
        <v>Malaysian</v>
      </c>
      <c r="F17" s="1" t="str">
        <v>Permanent</v>
      </c>
      <c r="G17" s="2">
        <v>43011</v>
      </c>
      <c r="I17" s="3">
        <v>3600</v>
      </c>
      <c r="J17" s="3">
        <v>400</v>
      </c>
      <c r="K17" s="3">
        <f>ROUND((I17+J17)*0.13,2)</f>
        <v>520</v>
      </c>
      <c r="L17" s="3">
        <f>ROUND((I17+J17)*0.0175,2)</f>
        <v>70</v>
      </c>
      <c r="M17" s="1">
        <v>14</v>
      </c>
      <c r="N17" s="1" t="str">
        <v>Yes</v>
      </c>
    </row>
    <row r="18">
      <c r="A18" s="1" t="str">
        <v>SP-0013</v>
      </c>
      <c r="B18" s="1" t="str">
        <v>Nor Hidayah binti Salleh</v>
      </c>
      <c r="C18" s="1" t="str">
        <v>QA</v>
      </c>
      <c r="D18" s="1" t="str">
        <v>F</v>
      </c>
      <c r="E18" s="1" t="str">
        <v>Malaysian</v>
      </c>
      <c r="F18" s="1" t="str">
        <v>Permanent</v>
      </c>
      <c r="G18" s="2">
        <v>44032</v>
      </c>
      <c r="I18" s="3">
        <v>3050</v>
      </c>
      <c r="J18" s="3">
        <v>300</v>
      </c>
      <c r="K18" s="3">
        <f>ROUND((I18+J18)*0.13,2)</f>
        <v>435.5</v>
      </c>
      <c r="L18" s="3">
        <f>ROUND((I18+J18)*0.0175,2)</f>
        <v>58.63</v>
      </c>
      <c r="M18" s="1">
        <v>16</v>
      </c>
      <c r="N18" s="1" t="str">
        <v>Yes</v>
      </c>
    </row>
    <row r="19">
      <c r="A19" s="1" t="str">
        <v>SP-0014</v>
      </c>
      <c r="B19" s="1" t="str">
        <v>Chandran a/l Muthu</v>
      </c>
      <c r="C19" s="1" t="str">
        <v>Production</v>
      </c>
      <c r="D19" s="1" t="str">
        <v>M</v>
      </c>
      <c r="E19" s="1" t="str">
        <v>Malaysian</v>
      </c>
      <c r="F19" s="1" t="str">
        <v>Permanent</v>
      </c>
      <c r="G19" s="2">
        <v>42709</v>
      </c>
      <c r="I19" s="3">
        <v>3400</v>
      </c>
      <c r="J19" s="3">
        <v>350</v>
      </c>
      <c r="K19" s="3">
        <f>ROUND((I19+J19)*0.13,2)</f>
        <v>487.5</v>
      </c>
      <c r="L19" s="3">
        <f>ROUND((I19+J19)*0.0175,2)</f>
        <v>65.63</v>
      </c>
      <c r="M19" s="1">
        <v>10</v>
      </c>
      <c r="N19" s="1" t="str">
        <v>Yes</v>
      </c>
    </row>
    <row r="20">
      <c r="A20" s="1" t="str">
        <v>SP-0015</v>
      </c>
      <c r="B20" s="1" t="str">
        <v>Farah Diana binti Kamal</v>
      </c>
      <c r="C20" s="1" t="str">
        <v>Sales</v>
      </c>
      <c r="D20" s="1" t="str">
        <v>F</v>
      </c>
      <c r="E20" s="1" t="str">
        <v>Malaysian</v>
      </c>
      <c r="F20" s="1" t="str">
        <v>Permanent</v>
      </c>
      <c r="G20" s="2">
        <v>44284</v>
      </c>
      <c r="I20" s="3">
        <v>3900</v>
      </c>
      <c r="J20" s="3">
        <v>600</v>
      </c>
      <c r="K20" s="3">
        <f>ROUND((I20+J20)*0.13,2)</f>
        <v>585</v>
      </c>
      <c r="L20" s="3">
        <f>ROUND((I20+J20)*0.0175,2)</f>
        <v>78.75</v>
      </c>
      <c r="M20" s="1">
        <v>12</v>
      </c>
      <c r="N20" s="1" t="str">
        <v>Yes</v>
      </c>
    </row>
    <row r="21">
      <c r="A21" s="1" t="str">
        <v>SP-0016</v>
      </c>
      <c r="B21" s="1" t="str">
        <v>Lee Chong Wei</v>
      </c>
      <c r="C21" s="1" t="str">
        <v>Production</v>
      </c>
      <c r="D21" s="1" t="str">
        <v>M</v>
      </c>
      <c r="E21" s="1" t="str">
        <v>Malaysian</v>
      </c>
      <c r="F21" s="1" t="str">
        <v>Permanent</v>
      </c>
      <c r="G21" s="1" t="str">
        <v>12/3/2021</v>
      </c>
      <c r="I21" s="3">
        <v>3150</v>
      </c>
      <c r="J21" s="3">
        <v>300</v>
      </c>
      <c r="K21" s="3">
        <f>ROUND((I21+J21)*0.13,2)</f>
        <v>448.5</v>
      </c>
      <c r="L21" s="3">
        <f>ROUND((I21+J21)*0.0175,2)</f>
        <v>60.38</v>
      </c>
      <c r="M21" s="1">
        <v>8</v>
      </c>
      <c r="N21" s="1" t="str">
        <v>Yes</v>
      </c>
    </row>
    <row r="22">
      <c r="A22" s="1" t="str">
        <v>SP-0017</v>
      </c>
      <c r="B22" s="1" t="str">
        <v>Bikash Tamang</v>
      </c>
      <c r="C22" s="1" t="str">
        <v>Production</v>
      </c>
      <c r="D22" s="1" t="str">
        <v>M</v>
      </c>
      <c r="E22" s="1" t="str">
        <v>Nepali</v>
      </c>
      <c r="F22" s="1" t="str">
        <v>Contract</v>
      </c>
      <c r="G22" s="2">
        <v>44963</v>
      </c>
      <c r="I22" s="3">
        <v>1850</v>
      </c>
      <c r="J22" s="3">
        <v>200</v>
      </c>
      <c r="K22" s="3">
        <f>ROUND((I22+J22)*0.13,2)</f>
        <v>266.5</v>
      </c>
      <c r="L22" s="3">
        <f>ROUND((I22+J22)*0.0175,2)</f>
        <v>35.88</v>
      </c>
      <c r="M22" s="1">
        <v>6</v>
      </c>
      <c r="N22" s="1" t="str">
        <v>Yes</v>
      </c>
    </row>
    <row r="23">
      <c r="A23" s="1" t="str">
        <v>SP-0018</v>
      </c>
      <c r="B23" s="1" t="str">
        <v>Suresh Gurung</v>
      </c>
      <c r="C23" s="1" t="str">
        <v>Production</v>
      </c>
      <c r="D23" s="1" t="str">
        <v>M</v>
      </c>
      <c r="E23" s="1" t="str">
        <v>Nepali</v>
      </c>
      <c r="F23" s="1" t="str">
        <v>Contract</v>
      </c>
      <c r="G23" s="2">
        <v>44963</v>
      </c>
      <c r="I23" s="3">
        <v>1850</v>
      </c>
      <c r="J23" s="3">
        <v>200</v>
      </c>
      <c r="K23" s="3">
        <f>ROUND((I23+J23)*0.13,2)</f>
        <v>266.5</v>
      </c>
      <c r="L23" s="3">
        <f>ROUND((I23+J23)*0.0175,2)</f>
        <v>35.88</v>
      </c>
      <c r="M23" s="1">
        <v>4</v>
      </c>
      <c r="N23" s="1" t="str">
        <v>Yes</v>
      </c>
    </row>
    <row r="24">
      <c r="A24" s="1" t="str">
        <v>SP-0019</v>
      </c>
      <c r="B24" s="1" t="str">
        <v>Aminah binti Hassan</v>
      </c>
      <c r="C24" s="1" t="str">
        <v>Admin</v>
      </c>
      <c r="D24" s="1" t="str">
        <v>F</v>
      </c>
      <c r="E24" s="1" t="str">
        <v>Malaysian</v>
      </c>
      <c r="F24" s="1" t="str">
        <v>Permanent</v>
      </c>
      <c r="G24" s="2">
        <v>44697</v>
      </c>
      <c r="I24" s="3">
        <v>2900</v>
      </c>
      <c r="J24" s="3">
        <v>300</v>
      </c>
      <c r="K24" s="3">
        <f>ROUND((I24+J24)*0.13,2)</f>
        <v>416</v>
      </c>
      <c r="L24" s="3">
        <f>ROUND((I24+J24)*0.0175,2)</f>
        <v>56</v>
      </c>
      <c r="M24" s="1">
        <v>8</v>
      </c>
      <c r="N24" s="1" t="str">
        <v>Yes</v>
      </c>
    </row>
    <row r="25">
      <c r="A25" s="1" t="str">
        <v>SP-0020</v>
      </c>
      <c r="B25" s="1" t="str">
        <v>Goh Boon Huat</v>
      </c>
      <c r="C25" s="1" t="str">
        <v>Maintenance</v>
      </c>
      <c r="D25" s="1" t="str">
        <v>M</v>
      </c>
      <c r="E25" s="1" t="str">
        <v>Malaysian</v>
      </c>
      <c r="F25" s="1" t="str">
        <v>Permanent</v>
      </c>
      <c r="G25" s="2">
        <v>43339</v>
      </c>
      <c r="I25" s="3">
        <v>3550</v>
      </c>
      <c r="J25" s="3">
        <v>400</v>
      </c>
      <c r="K25" s="3">
        <f>ROUND((I25+J25)*0.13,2)</f>
        <v>513.5</v>
      </c>
      <c r="L25" s="3">
        <f>ROUND((I25+J25)*0.0175,2)</f>
        <v>69.13</v>
      </c>
      <c r="M25" s="1">
        <v>8</v>
      </c>
      <c r="N25" s="1" t="str">
        <v>Yes</v>
      </c>
    </row>
    <row r="26">
      <c r="A26" s="1" t="str">
        <v>SP-0021</v>
      </c>
      <c r="B26" s="1" t="str">
        <v>Nurhaliza binti Awang</v>
      </c>
      <c r="C26" s="1" t="str">
        <v>QA</v>
      </c>
      <c r="D26" s="1" t="str">
        <v>F</v>
      </c>
      <c r="E26" s="1" t="str">
        <v>Malaysian</v>
      </c>
      <c r="F26" s="1" t="str">
        <v>Permanent</v>
      </c>
      <c r="G26" s="2">
        <v>44452</v>
      </c>
      <c r="I26" s="3">
        <v>3000</v>
      </c>
      <c r="J26" s="3">
        <v>300</v>
      </c>
      <c r="K26" s="3">
        <f>ROUND((I26+J26)*0.13,2)</f>
        <v>429</v>
      </c>
      <c r="L26" s="3">
        <f>ROUND((I26+J26)*0.0175,2)</f>
        <v>57.75</v>
      </c>
      <c r="M26" s="1">
        <v>16</v>
      </c>
      <c r="N26" s="1" t="str">
        <v>Yes</v>
      </c>
    </row>
    <row r="27">
      <c r="A27" s="1" t="str">
        <v>SP-0022</v>
      </c>
      <c r="B27" s="1" t="str">
        <v>Mohd Syafiq bin Rosli</v>
      </c>
      <c r="C27" s="1" t="str">
        <v>Prod.</v>
      </c>
      <c r="D27" s="1" t="str">
        <v>M</v>
      </c>
      <c r="E27" s="1" t="str">
        <v>Malaysian</v>
      </c>
      <c r="F27" s="1" t="str">
        <v>Permanent</v>
      </c>
      <c r="G27" s="2">
        <v>43563</v>
      </c>
      <c r="I27" s="3">
        <v>3250</v>
      </c>
      <c r="J27" s="3">
        <v>350</v>
      </c>
      <c r="K27" s="3">
        <f>ROUND((I27+J27)*0.13,2)</f>
        <v>468</v>
      </c>
      <c r="L27" s="3">
        <f>ROUND((I27+J27)*0.0175,2)</f>
        <v>63</v>
      </c>
      <c r="M27" s="1">
        <v>6</v>
      </c>
      <c r="N27" s="1" t="str">
        <v>Yes</v>
      </c>
    </row>
    <row r="28">
      <c r="A28" s="1" t="str">
        <v>SP-0023</v>
      </c>
      <c r="B28" s="1" t="str">
        <v>Ng Sook Fun</v>
      </c>
      <c r="C28" s="1" t="str">
        <v>Finance</v>
      </c>
      <c r="D28" s="1" t="str">
        <v>F</v>
      </c>
      <c r="E28" s="1" t="str">
        <v>Malaysian</v>
      </c>
      <c r="F28" s="1" t="str">
        <v>Permanent</v>
      </c>
      <c r="G28" s="2">
        <v>44137</v>
      </c>
      <c r="I28" s="3">
        <v>4000</v>
      </c>
      <c r="J28" s="3">
        <v>450</v>
      </c>
      <c r="K28" s="3">
        <f>ROUND((I28+J28)*0.13,2)</f>
        <v>578.5</v>
      </c>
      <c r="L28" s="3">
        <f>ROUND((I28+J28)*0.0175,2)</f>
        <v>77.88</v>
      </c>
      <c r="M28" s="1">
        <v>20</v>
      </c>
      <c r="N28" s="1" t="str">
        <v>Yes</v>
      </c>
    </row>
    <row r="29">
      <c r="A29" s="1" t="str">
        <v>SP-0024</v>
      </c>
      <c r="B29" s="1" t="str">
        <v>Ismail bin Jaafar</v>
      </c>
      <c r="C29" s="1" t="str">
        <v>Production</v>
      </c>
      <c r="D29" s="1" t="str">
        <v>M</v>
      </c>
      <c r="E29" s="1" t="str">
        <v>Malaysian</v>
      </c>
      <c r="F29" s="1" t="str">
        <v>Permanent</v>
      </c>
      <c r="G29" s="1" t="str">
        <v>Mar-2019</v>
      </c>
      <c r="I29" s="3">
        <v>3350</v>
      </c>
      <c r="J29" s="3">
        <v>350</v>
      </c>
      <c r="K29" s="3">
        <f>ROUND((I29+J29)*0.13,2)</f>
        <v>481</v>
      </c>
      <c r="L29" s="3">
        <f>ROUND((I29+J29)*0.0175,2)</f>
        <v>64.75</v>
      </c>
      <c r="M29" s="1">
        <v>14</v>
      </c>
      <c r="N29" s="1" t="str">
        <v>Yes</v>
      </c>
    </row>
    <row r="30">
      <c r="A30" s="1" t="str">
        <v>SP-0025</v>
      </c>
      <c r="B30" s="1" t="str">
        <v>Priya a/p Rajendran</v>
      </c>
      <c r="C30" s="1" t="str">
        <v>Admin</v>
      </c>
      <c r="D30" s="1" t="str">
        <v>F</v>
      </c>
      <c r="E30" s="1" t="str">
        <v>Malaysian</v>
      </c>
      <c r="F30" s="1" t="str">
        <v>Permanent</v>
      </c>
      <c r="G30" s="2">
        <v>44585</v>
      </c>
      <c r="I30" s="3">
        <v>2850</v>
      </c>
      <c r="J30" s="3">
        <v>300</v>
      </c>
      <c r="K30" s="3">
        <f>ROUND((I30+J30)*0.13,2)</f>
        <v>409.5</v>
      </c>
      <c r="L30" s="3">
        <f>ROUND((I30+J30)*0.0175,2)</f>
        <v>55.13</v>
      </c>
      <c r="M30" s="1">
        <v>8</v>
      </c>
      <c r="N30" s="1" t="str">
        <v>Yes</v>
      </c>
    </row>
    <row r="31">
      <c r="A31" s="1" t="str">
        <v>SP-0026</v>
      </c>
      <c r="B31" s="1" t="str">
        <v>Khairul Anuar bin Daud</v>
      </c>
      <c r="C31" s="1" t="str">
        <v xml:space="preserve">Production </v>
      </c>
      <c r="D31" s="1" t="str">
        <v>M</v>
      </c>
      <c r="E31" s="1" t="str">
        <v>Malaysian</v>
      </c>
      <c r="F31" s="1" t="str">
        <v>Permanent</v>
      </c>
      <c r="G31" s="2">
        <v>42779</v>
      </c>
      <c r="I31" s="3">
        <v>3500</v>
      </c>
      <c r="J31" s="3">
        <v>350</v>
      </c>
      <c r="K31" s="3">
        <f>ROUND((I31+J31)*0.13,2)</f>
        <v>500.5</v>
      </c>
      <c r="L31" s="3">
        <f>ROUND((I31+J31)*0.0175,2)</f>
        <v>67.38</v>
      </c>
      <c r="M31" s="1">
        <v>12</v>
      </c>
      <c r="N31" s="1" t="str">
        <v>Yes</v>
      </c>
    </row>
    <row r="32">
      <c r="A32" s="1" t="str">
        <v>SP-0027</v>
      </c>
      <c r="B32" s="1" t="str">
        <v>Yap Kim Seng</v>
      </c>
      <c r="C32" s="1" t="str">
        <v>Sales</v>
      </c>
      <c r="D32" s="1" t="str">
        <v>M</v>
      </c>
      <c r="E32" s="1" t="str">
        <v>Malaysian</v>
      </c>
      <c r="F32" s="1" t="str">
        <v>Permanent</v>
      </c>
      <c r="G32" s="2">
        <v>43626</v>
      </c>
      <c r="I32" s="3">
        <v>4300</v>
      </c>
      <c r="J32" s="3">
        <v>700</v>
      </c>
      <c r="K32" s="3">
        <f>ROUND((I32+J32)*0.13,2)</f>
        <v>650</v>
      </c>
      <c r="L32" s="3">
        <f>ROUND((I32+J32)*0.0175,2)</f>
        <v>87.5</v>
      </c>
      <c r="M32" s="1">
        <v>12</v>
      </c>
      <c r="N32" s="1" t="str">
        <v>Yes</v>
      </c>
    </row>
    <row r="33">
      <c r="A33" s="1" t="str">
        <v>SP-0028</v>
      </c>
      <c r="B33" s="1" t="str">
        <v>Rohana binti Mat Nor</v>
      </c>
      <c r="C33" s="1" t="str">
        <v>HR</v>
      </c>
      <c r="D33" s="1" t="str">
        <v>F</v>
      </c>
      <c r="E33" s="1" t="str">
        <v>Malaysian</v>
      </c>
      <c r="F33" s="1" t="str">
        <v>Permanent</v>
      </c>
      <c r="G33" s="2">
        <v>44410</v>
      </c>
      <c r="I33" s="3">
        <v>3200</v>
      </c>
      <c r="J33" s="3">
        <v>350</v>
      </c>
      <c r="K33" s="3">
        <f>ROUND((I33+J33)*0.13,2)</f>
        <v>461.5</v>
      </c>
      <c r="L33" s="3">
        <f>ROUND((I33+J33)*0.0175,2)</f>
        <v>62.13</v>
      </c>
      <c r="M33" s="1">
        <v>24</v>
      </c>
      <c r="N33" s="1" t="str">
        <v>Yes</v>
      </c>
    </row>
    <row r="34">
      <c r="A34" s="1" t="str">
        <v>SP-0029</v>
      </c>
      <c r="B34" s="1" t="str">
        <v>Sivakumar a/l Perumal</v>
      </c>
      <c r="C34" s="1" t="str">
        <v>Maintenance</v>
      </c>
      <c r="D34" s="1" t="str">
        <v>M</v>
      </c>
      <c r="E34" s="1" t="str">
        <v>Malaysian</v>
      </c>
      <c r="F34" s="1" t="str">
        <v>Permanent</v>
      </c>
      <c r="G34" s="2">
        <v>42520</v>
      </c>
      <c r="I34" s="3">
        <v>3700</v>
      </c>
      <c r="J34" s="3">
        <v>400</v>
      </c>
      <c r="K34" s="3">
        <f>ROUND((I34+J34)*0.13,2)</f>
        <v>533</v>
      </c>
      <c r="L34" s="3">
        <f>ROUND((I34+J34)*0.0175,2)</f>
        <v>71.75</v>
      </c>
      <c r="M34" s="1">
        <v>4</v>
      </c>
      <c r="N34" s="1" t="str">
        <v>Yes</v>
      </c>
    </row>
    <row r="35">
      <c r="A35" s="1" t="str">
        <v>SP-0030</v>
      </c>
      <c r="B35" s="1" t="str">
        <v>Norazlina binti Ahmad</v>
      </c>
      <c r="C35" s="1" t="str">
        <v>QA</v>
      </c>
      <c r="D35" s="1" t="str">
        <v>F</v>
      </c>
      <c r="E35" s="1" t="str">
        <v>Malaysian</v>
      </c>
      <c r="F35" s="1" t="str">
        <v>Permanent</v>
      </c>
      <c r="G35" s="2">
        <v>45005</v>
      </c>
      <c r="I35" s="3">
        <v>2800</v>
      </c>
      <c r="J35" s="3">
        <v>300</v>
      </c>
      <c r="K35" s="3">
        <f>ROUND((I35+J35)*0.13,2)</f>
        <v>403</v>
      </c>
      <c r="L35" s="3">
        <f>ROUND((I35+J35)*0.0175,2)</f>
        <v>54.25</v>
      </c>
      <c r="M35" s="1">
        <v>16</v>
      </c>
      <c r="N35" s="1" t="str">
        <v>Yes</v>
      </c>
    </row>
    <row r="36">
      <c r="A36" s="1" t="str">
        <v>SP-0031</v>
      </c>
      <c r="B36" s="1" t="str">
        <v>Chong Ah Meng</v>
      </c>
      <c r="C36" s="1" t="str">
        <v>Production</v>
      </c>
      <c r="D36" s="1" t="str">
        <v>M</v>
      </c>
      <c r="E36" s="1" t="str">
        <v>Malaysian</v>
      </c>
      <c r="F36" s="1" t="str">
        <v>Permanent</v>
      </c>
      <c r="G36" s="2">
        <v>43115</v>
      </c>
      <c r="I36" s="3">
        <v>3300</v>
      </c>
      <c r="J36" s="3">
        <v>350</v>
      </c>
      <c r="K36" s="3">
        <f>ROUND((I36+J36)*0.13,2)</f>
        <v>474.5</v>
      </c>
      <c r="L36" s="3">
        <f>ROUND((I36+J36)*0.0175,2)</f>
        <v>63.88</v>
      </c>
      <c r="M36" s="1">
        <v>8</v>
      </c>
      <c r="N36" s="1" t="str">
        <v>Yes</v>
      </c>
    </row>
    <row r="37">
      <c r="A37" s="1" t="str">
        <v>SP-0032</v>
      </c>
      <c r="B37" s="1" t="str">
        <v>Hafizah binti Omar</v>
      </c>
      <c r="C37" s="1" t="str">
        <v>Admin</v>
      </c>
      <c r="D37" s="1" t="str">
        <v>F</v>
      </c>
      <c r="E37" s="1" t="str">
        <v>Malaysian</v>
      </c>
      <c r="F37" s="1" t="str">
        <v>Permanent</v>
      </c>
      <c r="G37" s="2">
        <v>44809</v>
      </c>
      <c r="I37" s="3">
        <v>2750</v>
      </c>
      <c r="J37" s="3">
        <v>300</v>
      </c>
      <c r="K37" s="3">
        <f>ROUND((I38+J38)*0.13,2)</f>
        <v>396.5</v>
      </c>
      <c r="L37" s="3">
        <f>ROUND((I38+J38)*0.0175,2)</f>
        <v>53.38</v>
      </c>
      <c r="M37" s="1">
        <v>8</v>
      </c>
      <c r="N37" s="1" t="str">
        <v>Yes</v>
      </c>
    </row>
    <row r="38">
      <c r="A38" s="1" t="str">
        <v>SP-0033</v>
      </c>
      <c r="B38" s="1" t="str">
        <v>Ravi a/l Krishnan</v>
      </c>
      <c r="C38" s="1" t="str">
        <v>Production</v>
      </c>
      <c r="D38" s="1" t="str">
        <v>M</v>
      </c>
      <c r="E38" s="1" t="str">
        <v>Malaysian</v>
      </c>
      <c r="F38" s="1" t="str">
        <v>Permanent</v>
      </c>
      <c r="G38" s="2">
        <v>43901</v>
      </c>
      <c r="I38" s="3">
        <v>3150</v>
      </c>
      <c r="J38" s="3">
        <v>300</v>
      </c>
      <c r="K38" s="3">
        <f>ROUND((I39+J39)*0.13,2)</f>
        <v>448.5</v>
      </c>
      <c r="L38" s="3">
        <f>ROUND((I39+J39)*0.0175,2)</f>
        <v>60.38</v>
      </c>
      <c r="M38" s="1">
        <v>6</v>
      </c>
      <c r="N38" s="1" t="str">
        <v>Yes</v>
      </c>
    </row>
    <row r="39">
      <c r="A39" s="1" t="str">
        <v>SP-0034</v>
      </c>
      <c r="B39" s="1" t="str">
        <v>Shahrul Nizam bin Abdullah</v>
      </c>
      <c r="C39" s="1" t="str">
        <v>Production</v>
      </c>
      <c r="D39" s="1" t="str">
        <v>M</v>
      </c>
      <c r="E39" s="1" t="str">
        <v>Malaysian</v>
      </c>
      <c r="F39" s="1" t="str">
        <v>Resigned</v>
      </c>
      <c r="G39" s="2">
        <v>43668</v>
      </c>
      <c r="I39" s="3">
        <v>3250</v>
      </c>
      <c r="J39" s="3">
        <v>350</v>
      </c>
      <c r="K39" s="3">
        <f>ROUND((I40+J40)*0.13,2)</f>
        <v>468</v>
      </c>
      <c r="L39" s="3">
        <f>ROUND((I40+J40)*0.0175,2)</f>
        <v>63</v>
      </c>
      <c r="M39" s="1">
        <v>6</v>
      </c>
      <c r="N39" s="1" t="str">
        <v>Yes</v>
      </c>
    </row>
    <row r="40">
      <c r="A40" s="1" t="str">
        <v>SP-0035</v>
      </c>
      <c r="B40" s="1" t="str">
        <v>Teoh Li Ping</v>
      </c>
      <c r="C40" s="1" t="str">
        <v>Finance</v>
      </c>
      <c r="D40" s="1" t="str">
        <v>F</v>
      </c>
      <c r="E40" s="1" t="str">
        <v>Malaysian</v>
      </c>
      <c r="F40" s="1" t="str">
        <v>Permanent</v>
      </c>
      <c r="G40" s="2">
        <v>44536</v>
      </c>
      <c r="I40" s="3">
        <v>3850</v>
      </c>
      <c r="J40" s="3">
        <v>400</v>
      </c>
      <c r="K40" s="3">
        <f>ROUND((I41+J41)*0.13,2)</f>
        <v>552.5</v>
      </c>
      <c r="L40" s="3">
        <f>ROUND((I41+J41)*0.0175,2)</f>
        <v>74.38</v>
      </c>
      <c r="M40" s="1">
        <v>20</v>
      </c>
      <c r="N40" s="1" t="str">
        <v>Yes</v>
      </c>
    </row>
    <row r="41">
      <c r="A41" s="1" t="str">
        <v>SP-0036</v>
      </c>
      <c r="B41" s="1" t="str">
        <v>Mohd Firdaus bin Sulaiman</v>
      </c>
      <c r="C41" s="1" t="str">
        <v>Maintenance</v>
      </c>
      <c r="D41" s="1" t="str">
        <v>M</v>
      </c>
      <c r="E41" s="1" t="str">
        <v>Malaysian</v>
      </c>
      <c r="F41" s="1" t="str">
        <v>Permanent</v>
      </c>
      <c r="G41" s="2">
        <v>45096</v>
      </c>
      <c r="I41" s="3">
        <v>2900</v>
      </c>
      <c r="J41" s="3">
        <v>300</v>
      </c>
      <c r="K41" s="3">
        <f>ROUND((I42+J42)*0.13,2)</f>
        <v>416</v>
      </c>
      <c r="L41" s="3">
        <f>ROUND((I42+J42)*0.0175,2)</f>
        <v>56</v>
      </c>
      <c r="M41" s="1">
        <v>6</v>
      </c>
      <c r="N41" s="1" t="str">
        <v>Yes</v>
      </c>
    </row>
    <row r="42">
      <c r="A42" s="1" t="str">
        <v>SP-0037</v>
      </c>
      <c r="B42" s="1" t="str">
        <v>Nur Izzati binti Kamarudin</v>
      </c>
      <c r="C42" s="1" t="str">
        <v>QA</v>
      </c>
      <c r="D42" s="1" t="str">
        <v>F</v>
      </c>
      <c r="E42" s="1" t="str">
        <v>Malaysian</v>
      </c>
      <c r="F42" s="1" t="str">
        <v>Permanent</v>
      </c>
      <c r="G42" s="2">
        <v>45152</v>
      </c>
      <c r="I42" s="3">
        <v>2700</v>
      </c>
      <c r="J42" s="3">
        <v>250</v>
      </c>
      <c r="K42" s="3">
        <f>ROUND((I43+J43)*0.13,2)</f>
        <v>383.5</v>
      </c>
      <c r="L42" s="3">
        <f>ROUND((I43+J43)*0.0175,2)</f>
        <v>51.63</v>
      </c>
      <c r="M42" s="1">
        <v>16</v>
      </c>
      <c r="N42" s="1" t="str">
        <v>Yes</v>
      </c>
    </row>
    <row r="43">
      <c r="A43" s="1" t="str">
        <v>SP-0038</v>
      </c>
      <c r="B43" s="1" t="str">
        <v>Jamal Uddin</v>
      </c>
      <c r="C43" s="1" t="str">
        <v>Production</v>
      </c>
      <c r="D43" s="1" t="str">
        <v>M</v>
      </c>
      <c r="E43" s="1" t="str">
        <v>Bangladeshi</v>
      </c>
      <c r="F43" s="1" t="str">
        <v>Contract</v>
      </c>
      <c r="G43" s="2">
        <v>45299</v>
      </c>
      <c r="I43" s="3">
        <v>1900</v>
      </c>
      <c r="J43" s="3">
        <v>200</v>
      </c>
      <c r="K43" s="3">
        <f>ROUND((I44+J44)*0.13,2)</f>
        <v>273</v>
      </c>
      <c r="L43" s="3">
        <f>ROUND((I44+J44)*0.0175,2)</f>
        <v>36.75</v>
      </c>
      <c r="M43" s="1">
        <v>4</v>
      </c>
      <c r="N43" s="1" t="str">
        <v>Yes</v>
      </c>
    </row>
    <row r="44">
      <c r="A44" s="1" t="str">
        <v>SP-0039</v>
      </c>
      <c r="B44" s="1" t="str">
        <v>Loo Wai Kit</v>
      </c>
      <c r="C44" s="1" t="str">
        <v>Production</v>
      </c>
      <c r="D44" s="1" t="str">
        <v>M</v>
      </c>
      <c r="E44" s="1" t="str">
        <v>Malaysian</v>
      </c>
      <c r="F44" s="1" t="str">
        <v>Permanent</v>
      </c>
      <c r="G44" s="2">
        <v>44655</v>
      </c>
      <c r="I44" s="3">
        <v>3100</v>
      </c>
      <c r="J44" s="3">
        <v>300</v>
      </c>
      <c r="K44" s="3">
        <f>ROUND((I45+J45)*0.13,2)</f>
        <v>442</v>
      </c>
      <c r="L44" s="3">
        <f>ROUND((I45+J45)*0.0175,2)</f>
        <v>59.5</v>
      </c>
      <c r="M44" s="1">
        <v>8</v>
      </c>
      <c r="N44" s="1" t="str">
        <v>Yes</v>
      </c>
    </row>
    <row r="45">
      <c r="A45" s="1" t="str">
        <v>SP-0040</v>
      </c>
      <c r="B45" s="1" t="str">
        <v>Zainab binti Mahmud</v>
      </c>
      <c r="C45" s="1" t="str">
        <v>Admin</v>
      </c>
      <c r="D45" s="1" t="str">
        <v>F</v>
      </c>
      <c r="E45" s="1" t="str">
        <v>Malaysian</v>
      </c>
      <c r="F45" s="1" t="str">
        <v>Permanent</v>
      </c>
      <c r="G45" s="2">
        <v>45348</v>
      </c>
      <c r="I45" s="3">
        <v>2650</v>
      </c>
      <c r="J45" s="3">
        <v>250</v>
      </c>
      <c r="K45" s="3">
        <f>ROUND((I46+J46)*0.13,2)</f>
        <v>377</v>
      </c>
      <c r="L45" s="3">
        <f>ROUND((I46+J46)*0.0175,2)</f>
        <v>50.75</v>
      </c>
      <c r="M45" s="1">
        <v>10</v>
      </c>
      <c r="N45" s="1" t="str">
        <v>Yes</v>
      </c>
    </row>
    <row r="46">
      <c r="A46" s="1" t="str">
        <v>SP-0041</v>
      </c>
      <c r="B46" s="1" t="str">
        <v>Arumugam a/l Selvam</v>
      </c>
      <c r="C46" s="1" t="str">
        <v>Production</v>
      </c>
      <c r="D46" s="1" t="str">
        <v>M</v>
      </c>
      <c r="E46" s="1" t="str">
        <v>Malaysian</v>
      </c>
      <c r="F46" s="1" t="str">
        <v>Permanent</v>
      </c>
      <c r="G46" s="2">
        <v>42255</v>
      </c>
      <c r="I46" s="3">
        <v>3600</v>
      </c>
      <c r="J46" s="3">
        <v>400</v>
      </c>
      <c r="K46" s="3">
        <f>ROUND((I47+J47)*0.13,2)</f>
        <v>520</v>
      </c>
      <c r="L46" s="3">
        <f>ROUND((I47+J47)*0.0175,2)</f>
        <v>70</v>
      </c>
      <c r="M46" s="1">
        <v>12</v>
      </c>
      <c r="N46" s="1" t="str">
        <v>Yes</v>
      </c>
    </row>
    <row r="47">
      <c r="A47" s="1" t="str">
        <v>SP-0042</v>
      </c>
      <c r="B47" s="1" t="str">
        <v>Cheah Yoke Lin</v>
      </c>
      <c r="C47" s="1" t="str">
        <v>Sales</v>
      </c>
      <c r="D47" s="1" t="str">
        <v>F</v>
      </c>
      <c r="E47" s="1" t="str">
        <v>Malaysian</v>
      </c>
      <c r="F47" s="1" t="str">
        <v>Permanent</v>
      </c>
      <c r="G47" s="2">
        <v>45229</v>
      </c>
      <c r="I47" s="3">
        <v>3400</v>
      </c>
      <c r="J47" s="3">
        <v>500</v>
      </c>
      <c r="K47" s="3">
        <f>ROUND((I48+J48)*0.13,2)</f>
        <v>507</v>
      </c>
      <c r="L47" s="3">
        <f>ROUND((I48+J48)*0.0175,2)</f>
        <v>68.25</v>
      </c>
      <c r="M47" s="1">
        <v>12</v>
      </c>
      <c r="N47" s="1" t="str">
        <v>Yes</v>
      </c>
    </row>
  </sheetData>
  <autoFilter ref="A5:N48"/>
  <pageMargins left="0.75" right="0.75" top="1" bottom="1" header="0.511811023622047" footer="0.511811023622047"/>
  <ignoredErrors>
    <ignoredError numberStoredAsText="1" sqref="A1:N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0"/>
  <sheetViews>
    <sheetView workbookViewId="0" rightToLeft="0"/>
  </sheetViews>
  <sheetData>
    <row r="1">
      <c r="A1" s="1" t="str">
        <v>HR Summary - FY2025</v>
      </c>
    </row>
    <row r="2">
      <c r="A2" s="1" t="str">
        <v>Prepared for customer ESG questionnaire response</v>
      </c>
    </row>
    <row r="4">
      <c r="A4" s="1" t="str">
        <v>Metric</v>
      </c>
      <c r="B4" s="1" t="str">
        <v>Value</v>
      </c>
      <c r="C4" s="1" t="str">
        <v>Note / Source</v>
      </c>
    </row>
    <row r="5">
      <c r="A5" s="1" t="str">
        <v>Headcount per HR system (Dec 2025)</v>
      </c>
      <c r="B5" s="1">
        <v>42</v>
      </c>
      <c r="C5" s="1" t="str">
        <v>Reconciled with payroll register after removing duplicate row (Jan 2026)</v>
      </c>
    </row>
    <row r="6">
      <c r="A6" s="1" t="str">
        <v>Rows present in this register</v>
      </c>
      <c r="B6" s="1">
        <f>COUNTA('Payroll Dec 2025'!A6:A48)</f>
        <v>43</v>
      </c>
      <c r="C6" s="1" t="str">
        <v>Counted from the register itself</v>
      </c>
    </row>
    <row r="7">
      <c r="A7" s="1" t="str">
        <v>Unique Staff IDs in register</v>
      </c>
      <c r="B7" s="1">
        <f>SUMPRODUCT(1/COUNTIF('Payroll Dec 2025'!A6:A48,'Payroll Dec 2025'!A6:A48))</f>
        <v>42</v>
      </c>
      <c r="C7" s="1" t="str">
        <v>Duplicate IDs will make this lower than row count</v>
      </c>
    </row>
    <row r="9">
      <c r="A9" s="1" t="str">
        <v>Employees recorded as Male</v>
      </c>
      <c r="B9" s="1">
        <f>COUNTIF('Payroll Dec 2025'!D6:D48,"M")</f>
        <v>24</v>
      </c>
    </row>
    <row r="10">
      <c r="A10" s="1" t="str">
        <v>Employees recorded as Female</v>
      </c>
      <c r="B10" s="1">
        <f>COUNTIF('Payroll Dec 2025'!D6:D48,"F")</f>
        <v>15</v>
      </c>
    </row>
    <row r="11">
      <c r="A11" s="1" t="str">
        <v>Gender field BLANK</v>
      </c>
      <c r="B11" s="1">
        <f>COUNTBLANK('Payroll Dec 2025'!D6:D48)</f>
        <v>4</v>
      </c>
      <c r="C11" s="1" t="str">
        <v>Cannot report gender split until filled</v>
      </c>
    </row>
    <row r="12">
      <c r="A12" s="1" t="str">
        <v>Female share of recorded workforce</v>
      </c>
      <c r="B12" s="4">
        <f>IFERROR(COUNTIF('Payroll Dec 2025'!D6:D48,"F")/(COUNTIF('Payroll Dec 2025'!D6:D48,"M")+COUNTIF('Payroll Dec 2025'!D6:D48,"F")),"n/a")</f>
        <v>0.384615384615385</v>
      </c>
      <c r="C12" s="1" t="str">
        <v>Excludes blanks - may misstate the true split</v>
      </c>
    </row>
    <row r="14">
      <c r="A14" s="1" t="str">
        <v>Total basic salary paid (RM/month)</v>
      </c>
      <c r="B14" s="3">
        <f>SUM('Payroll Dec 2025'!I6:I48)</f>
        <v>137100</v>
      </c>
    </row>
    <row r="15">
      <c r="A15" s="1" t="str">
        <v>Average basic salary (RM/month)</v>
      </c>
      <c r="B15" s="3">
        <f>IFERROR(AVERAGE('Payroll Dec 2025'!I6:I48),"n/a")</f>
        <v>3188.37209302326</v>
      </c>
    </row>
    <row r="16">
      <c r="A16" s="1" t="str">
        <v>Lowest basic salary (RM/month)</v>
      </c>
      <c r="B16" s="3">
        <f>MIN('Payroll Dec 2025'!I6:I48)</f>
        <v>1700</v>
      </c>
    </row>
    <row r="17">
      <c r="A17" s="1" t="str">
        <v>Staff below RM1,700 statutory minimum wage</v>
      </c>
      <c r="B17" s="1">
        <f>COUNTIF('Payroll Dec 2025'!I6:I48,"&lt;1700")</f>
        <v>0</v>
      </c>
      <c r="C17" s="1" t="str">
        <v>Minimum wage RM1,700/month, Minimum Wages Order 2024</v>
      </c>
    </row>
    <row r="19">
      <c r="A19" s="1" t="str">
        <v>Total recorded training hours 2025</v>
      </c>
      <c r="B19" s="1">
        <f>SUM('Payroll Dec 2025'!M6:M48)</f>
        <v>372</v>
      </c>
      <c r="C19" s="1" t="str">
        <v>Blank cells are excluded, not counted as zero</v>
      </c>
    </row>
    <row r="20">
      <c r="A20" s="1" t="str">
        <v>Staff with NO training hours recorded</v>
      </c>
      <c r="B20" s="1">
        <f>COUNTBLANK('Payroll Dec 2025'!M6:M48)</f>
        <v>12</v>
      </c>
      <c r="C20" s="1" t="str">
        <v>Unknown - not confirmed as zero training</v>
      </c>
    </row>
    <row r="21">
      <c r="A21" s="1" t="str">
        <v>Average training hours per recorded staff</v>
      </c>
      <c r="B21" s="1">
        <f>IFERROR(AVERAGE('Payroll Dec 2025'!M6:M48),"n/a")</f>
        <v>12</v>
      </c>
      <c r="C21" s="1" t="str">
        <v>Based only on staff with a value</v>
      </c>
    </row>
    <row r="23">
      <c r="A23" s="1" t="str">
        <v>Safety induction NOT completed</v>
      </c>
      <c r="B23" s="1">
        <f>COUNTIF('Payroll Dec 2025'!N6:N48,"No")</f>
        <v>2</v>
      </c>
    </row>
    <row r="24">
      <c r="A24" s="1" t="str">
        <v>Number of distinct department labels</v>
      </c>
      <c r="B24" s="1">
        <f>SUMPRODUCT(1/COUNTIF('Payroll Dec 2025'!C6:C48,'Payroll Dec 2025'!C6:C48))</f>
        <v>9</v>
      </c>
      <c r="C24" s="1" t="str">
        <v>Higher than the real number of departments - labels are inconsistent</v>
      </c>
    </row>
    <row r="26">
      <c r="A26" s="1" t="str">
        <v>NOT AVAILABLE IN THIS FILE</v>
      </c>
    </row>
    <row r="27">
      <c r="A27" s="1" t="str">
        <v xml:space="preserve">   Workplace injury / lost-time incident (LTI) count 2025</v>
      </c>
      <c r="B27" s="1" t="str">
        <v>-</v>
      </c>
      <c r="C27" s="1" t="str">
        <v>No source document provided</v>
      </c>
    </row>
    <row r="28">
      <c r="A28" s="1" t="str">
        <v xml:space="preserve">   Employee turnover rate 2025 (leavers not recorded)</v>
      </c>
      <c r="B28" s="1" t="str">
        <v>-</v>
      </c>
      <c r="C28" s="1" t="str">
        <v>No source document provided</v>
      </c>
    </row>
    <row r="29">
      <c r="A29" s="1" t="str">
        <v xml:space="preserve">   Overtime hours 2025</v>
      </c>
      <c r="B29" s="1" t="str">
        <v>-</v>
      </c>
      <c r="C29" s="1" t="str">
        <v>No source document provided</v>
      </c>
    </row>
    <row r="30">
      <c r="A30" s="1" t="str">
        <v xml:space="preserve">   Union / worker representation status</v>
      </c>
      <c r="B30" s="1" t="str">
        <v>-</v>
      </c>
      <c r="C30" s="1" t="str">
        <v>No source document provided</v>
      </c>
    </row>
  </sheetData>
  <pageMargins left="0.75" right="0.75" top="1" bottom="1" header="0.511811023622047" footer="0.511811023622047"/>
  <ignoredErrors>
    <ignoredError numberStoredAsText="1" sqref="A1:C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6"/>
  <sheetViews>
    <sheetView workbookViewId="0" rightToLeft="0"/>
  </sheetViews>
  <sheetData>
    <row r="1">
      <c r="A1" s="1" t="str">
        <v>SINARAN PRECISION SDN BHD - HR Register Notes</v>
      </c>
    </row>
    <row r="3">
      <c r="A3" s="1" t="str">
        <v>This register is maintained manually on the HR shared drive and updated monthly.</v>
      </c>
    </row>
    <row r="4">
      <c r="A4" s="1" t="str">
        <v>It has not been reconciled against the HRMS since August 2025.</v>
      </c>
    </row>
    <row r="6">
      <c r="A6" s="1" t="str">
        <v>Legend:</v>
      </c>
    </row>
    <row r="7">
      <c r="A7" s="1" t="str">
        <v xml:space="preserve">   Blue text on yellow fill = value typed in by hand (not calculated)</v>
      </c>
    </row>
    <row r="8">
      <c r="A8" s="1" t="str">
        <v xml:space="preserve">   Black text = calculated by formula from the register</v>
      </c>
    </row>
    <row r="9">
      <c r="A9" s="1" t="str">
        <v xml:space="preserve">   A blank Training Hours cell means NOT RECORDED. It does not mean zero hours.</v>
      </c>
    </row>
    <row r="11">
      <c r="A11" s="1" t="str">
        <v>Known issues flagged by Finance during the Nov 2025 audit and not yet fixed:</v>
      </c>
    </row>
    <row r="12">
      <c r="A12" s="1" t="str">
        <v xml:space="preserve">   - Headcount in this file does not tie to the HRMS figure.</v>
      </c>
    </row>
    <row r="13">
      <c r="A13" s="1" t="str">
        <v xml:space="preserve">   - Leaver dates are not being captured when staff resign.</v>
      </c>
    </row>
    <row r="14">
      <c r="A14" s="1" t="str">
        <v xml:space="preserve">   - Department names are typed free-hand, so the same department appears several ways.</v>
      </c>
    </row>
    <row r="16">
      <c r="A16" s="1" t="str">
        <v>MOCK DOCUMENT - SYNTHETIC TEST DATA FOR HACKATHON USE ONLY.</v>
      </c>
    </row>
  </sheetData>
  <pageMargins left="0.75" right="0.75" top="1" bottom="1" header="0.511811023622047" footer="0.511811023622047"/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Dec 2025</vt:lpstr>
      <vt:lpstr>Summary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2026-08-22T02:42:39Z</dcterms:created>
  <dcterms:modified xsi:type="dcterms:W3CDTF">2026-08-22T03:21:10Z</dcterms:modified>
  <cp:revision>0</cp:revision>
  <dc:creator>openpyxl</dc:creator>
  <dc:language>en-US</dc:language>
</cp:coreProperties>
</file>