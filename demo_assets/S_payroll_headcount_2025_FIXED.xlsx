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Dec 2025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'Payroll Dec 2025'!$A$5:$N$48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<sst xmlns="http://schemas.openxmlformats.org/spreadsheetml/2006/main" count="372" uniqueCount="173">
  <si>
    <t xml:space="preserve">SINARAN PRECISION SDN BHD</t>
  </si>
  <si>
    <t xml:space="preserve">Payroll &amp; Headcount Register - Month: December 2025</t>
  </si>
  <si>
    <t xml:space="preserve">Extracted from: HR shared drive \\SPSB-FS01\HR\Payroll\2025  |  Last edited: 08/01/2026 by S. Aishah</t>
  </si>
  <si>
    <t xml:space="preserve">Staff ID</t>
  </si>
  <si>
    <t xml:space="preserve">Employee Name</t>
  </si>
  <si>
    <t xml:space="preserve">Department</t>
  </si>
  <si>
    <t xml:space="preserve">Gender</t>
  </si>
  <si>
    <t xml:space="preserve">Nationality</t>
  </si>
  <si>
    <t xml:space="preserve">Employment Type</t>
  </si>
  <si>
    <t xml:space="preserve">Date Joined</t>
  </si>
  <si>
    <t xml:space="preserve">Date Left</t>
  </si>
  <si>
    <t xml:space="preserve">Basic Salary (RM)</t>
  </si>
  <si>
    <t xml:space="preserve">Fixed Allowance (RM)</t>
  </si>
  <si>
    <t xml:space="preserve">EPF Employer (RM)</t>
  </si>
  <si>
    <t xml:space="preserve">SOCSO Employer (RM)</t>
  </si>
  <si>
    <t xml:space="preserve">Training Hours 2025</t>
  </si>
  <si>
    <t xml:space="preserve">Safety Induction Completed</t>
  </si>
  <si>
    <t xml:space="preserve">SP-0001</t>
  </si>
  <si>
    <t xml:space="preserve">Ahmad Faizal bin Osman</t>
  </si>
  <si>
    <t xml:space="preserve">Production</t>
  </si>
  <si>
    <t xml:space="preserve">M</t>
  </si>
  <si>
    <t xml:space="preserve">Malaysian</t>
  </si>
  <si>
    <t xml:space="preserve">Permanent</t>
  </si>
  <si>
    <t xml:space="preserve">Yes</t>
  </si>
  <si>
    <t xml:space="preserve">SP-0002</t>
  </si>
  <si>
    <t xml:space="preserve">Lim Wei Ling</t>
  </si>
  <si>
    <t xml:space="preserve">Admin</t>
  </si>
  <si>
    <t xml:space="preserve">F</t>
  </si>
  <si>
    <t xml:space="preserve">SP-0003</t>
  </si>
  <si>
    <t xml:space="preserve">Raj Kumar a/l Subramaniam</t>
  </si>
  <si>
    <t xml:space="preserve">SP-0004</t>
  </si>
  <si>
    <t xml:space="preserve">Nurul Aina binti Zulkifli</t>
  </si>
  <si>
    <t xml:space="preserve">QA</t>
  </si>
  <si>
    <t xml:space="preserve">SP-0005</t>
  </si>
  <si>
    <t xml:space="preserve">Tan Chee Keong</t>
  </si>
  <si>
    <t xml:space="preserve">SP-0006</t>
  </si>
  <si>
    <t xml:space="preserve">Mohd Hafiz bin Ismail</t>
  </si>
  <si>
    <t xml:space="preserve">PRODUCTION</t>
  </si>
  <si>
    <t xml:space="preserve">SP-0007</t>
  </si>
  <si>
    <t xml:space="preserve">Siti Aishah binti Rahman</t>
  </si>
  <si>
    <t xml:space="preserve">HR</t>
  </si>
  <si>
    <t xml:space="preserve">SP-0008</t>
  </si>
  <si>
    <t xml:space="preserve">Kavitha a/p Ganesan</t>
  </si>
  <si>
    <t xml:space="preserve">Finance</t>
  </si>
  <si>
    <t xml:space="preserve">SP-0009</t>
  </si>
  <si>
    <t xml:space="preserve">Md Rasel Hossain</t>
  </si>
  <si>
    <t xml:space="preserve">Bangladeshi</t>
  </si>
  <si>
    <t xml:space="preserve">Contract</t>
  </si>
  <si>
    <t xml:space="preserve">SP-0010</t>
  </si>
  <si>
    <t xml:space="preserve">Abdul Karim Miah</t>
  </si>
  <si>
    <t xml:space="preserve">No</t>
  </si>
  <si>
    <t xml:space="preserve">SP-0011</t>
  </si>
  <si>
    <t xml:space="preserve">Wong Mei Chen</t>
  </si>
  <si>
    <t xml:space="preserve">SP-0012</t>
  </si>
  <si>
    <t xml:space="preserve">Zulkarnain bin Yusof</t>
  </si>
  <si>
    <t xml:space="preserve">Maintenance</t>
  </si>
  <si>
    <t xml:space="preserve">SP-0013</t>
  </si>
  <si>
    <t xml:space="preserve">Nor Hidayah binti Salleh</t>
  </si>
  <si>
    <t xml:space="preserve">SP-0014</t>
  </si>
  <si>
    <t xml:space="preserve">Chandran a/l Muthu</t>
  </si>
  <si>
    <t xml:space="preserve">SP-0015</t>
  </si>
  <si>
    <t xml:space="preserve">Farah Diana binti Kamal</t>
  </si>
  <si>
    <t xml:space="preserve">Sales</t>
  </si>
  <si>
    <t xml:space="preserve">SP-0016</t>
  </si>
  <si>
    <t xml:space="preserve">Lee Chong Wei</t>
  </si>
  <si>
    <t xml:space="preserve">12/3/2021</t>
  </si>
  <si>
    <t xml:space="preserve">SP-0017</t>
  </si>
  <si>
    <t xml:space="preserve">Bikash Tamang</t>
  </si>
  <si>
    <t xml:space="preserve">Nepali</t>
  </si>
  <si>
    <t xml:space="preserve">SP-0018</t>
  </si>
  <si>
    <t xml:space="preserve">Suresh Gurung</t>
  </si>
  <si>
    <t xml:space="preserve">SP-0019</t>
  </si>
  <si>
    <t xml:space="preserve">Aminah binti Hassan</t>
  </si>
  <si>
    <t xml:space="preserve">SP-0020</t>
  </si>
  <si>
    <t xml:space="preserve">Goh Boon Huat</t>
  </si>
  <si>
    <t xml:space="preserve">SP-0021</t>
  </si>
  <si>
    <t xml:space="preserve">Nurhaliza binti Awang</t>
  </si>
  <si>
    <t xml:space="preserve">SP-0022</t>
  </si>
  <si>
    <t xml:space="preserve">Mohd Syafiq bin Rosli</t>
  </si>
  <si>
    <t xml:space="preserve">Prod.</t>
  </si>
  <si>
    <t xml:space="preserve">SP-0023</t>
  </si>
  <si>
    <t xml:space="preserve">Ng Sook Fun</t>
  </si>
  <si>
    <t xml:space="preserve">SP-0024</t>
  </si>
  <si>
    <t xml:space="preserve">Ismail bin Jaafar</t>
  </si>
  <si>
    <t xml:space="preserve">Mar-2019</t>
  </si>
  <si>
    <t xml:space="preserve">SP-0025</t>
  </si>
  <si>
    <t xml:space="preserve">Priya a/p Rajendran</t>
  </si>
  <si>
    <t xml:space="preserve">SP-0026</t>
  </si>
  <si>
    <t xml:space="preserve">Khairul Anuar bin Daud</t>
  </si>
  <si>
    <t xml:space="preserve">Production </t>
  </si>
  <si>
    <t xml:space="preserve">SP-0027</t>
  </si>
  <si>
    <t xml:space="preserve">Yap Kim Seng</t>
  </si>
  <si>
    <t xml:space="preserve">SP-0028</t>
  </si>
  <si>
    <t xml:space="preserve">Rohana binti Mat Nor</t>
  </si>
  <si>
    <t xml:space="preserve">SP-0029</t>
  </si>
  <si>
    <t xml:space="preserve">Sivakumar a/l Perumal</t>
  </si>
  <si>
    <t xml:space="preserve">SP-0030</t>
  </si>
  <si>
    <t xml:space="preserve">Norazlina binti Ahmad</t>
  </si>
  <si>
    <t xml:space="preserve">SP-0031</t>
  </si>
  <si>
    <t xml:space="preserve">Chong Ah Meng</t>
  </si>
  <si>
    <t xml:space="preserve">SP-0032</t>
  </si>
  <si>
    <t xml:space="preserve">Hafizah binti Omar</t>
  </si>
  <si>
    <t xml:space="preserve">SP-0033</t>
  </si>
  <si>
    <t xml:space="preserve">Ravi a/l Krishnan</t>
  </si>
  <si>
    <t xml:space="preserve">SP-0034</t>
  </si>
  <si>
    <t xml:space="preserve">Shahrul Nizam bin Abdullah</t>
  </si>
  <si>
    <t xml:space="preserve">Resigned</t>
  </si>
  <si>
    <t xml:space="preserve">SP-0035</t>
  </si>
  <si>
    <t xml:space="preserve">Teoh Li Ping</t>
  </si>
  <si>
    <t xml:space="preserve">SP-0036</t>
  </si>
  <si>
    <t xml:space="preserve">Mohd Firdaus bin Sulaiman</t>
  </si>
  <si>
    <t xml:space="preserve">SP-0037</t>
  </si>
  <si>
    <t xml:space="preserve">Nur Izzati binti Kamarudin</t>
  </si>
  <si>
    <t xml:space="preserve">SP-0038</t>
  </si>
  <si>
    <t xml:space="preserve">Jamal Uddin</t>
  </si>
  <si>
    <t xml:space="preserve">SP-0039</t>
  </si>
  <si>
    <t xml:space="preserve">Loo Wai Kit</t>
  </si>
  <si>
    <t xml:space="preserve">SP-0040</t>
  </si>
  <si>
    <t xml:space="preserve">Zainab binti Mahmud</t>
  </si>
  <si>
    <t xml:space="preserve">SP-0041</t>
  </si>
  <si>
    <t xml:space="preserve">Arumugam a/l Selvam</t>
  </si>
  <si>
    <t xml:space="preserve">SP-0042</t>
  </si>
  <si>
    <t xml:space="preserve">Cheah Yoke Lin</t>
  </si>
  <si>
    <t xml:space="preserve">HR Summary - FY2025</t>
  </si>
  <si>
    <t xml:space="preserve">Prepared for customer ESG questionnaire response</t>
  </si>
  <si>
    <t xml:space="preserve">Metric</t>
  </si>
  <si>
    <t xml:space="preserve">Value</t>
  </si>
  <si>
    <t xml:space="preserve">Note / Source</t>
  </si>
  <si>
    <t xml:space="preserve">Headcount per HR system (Dec 2025)</t>
  </si>
  <si>
    <t xml:space="preserve">Typed in from HRMS screen by S. Aishah - not reconciled</t>
  </si>
  <si>
    <t xml:space="preserve">Rows present in this register</t>
  </si>
  <si>
    <t xml:space="preserve">Counted from the register itself</t>
  </si>
  <si>
    <t xml:space="preserve">Unique Staff IDs in register</t>
  </si>
  <si>
    <t xml:space="preserve">Duplicate IDs will make this lower than row count</t>
  </si>
  <si>
    <t xml:space="preserve">Employees recorded as Male</t>
  </si>
  <si>
    <t xml:space="preserve">Employees recorded as Female</t>
  </si>
  <si>
    <t xml:space="preserve">Gender field BLANK</t>
  </si>
  <si>
    <t xml:space="preserve">Cannot report gender split until filled</t>
  </si>
  <si>
    <t xml:space="preserve">Female share of recorded workforce</t>
  </si>
  <si>
    <t xml:space="preserve">Excludes blanks - may misstate the true split</t>
  </si>
  <si>
    <t xml:space="preserve">Total basic salary paid (RM/month)</t>
  </si>
  <si>
    <t xml:space="preserve">Average basic salary (RM/month)</t>
  </si>
  <si>
    <t xml:space="preserve">Lowest basic salary (RM/month)</t>
  </si>
  <si>
    <t xml:space="preserve">Staff below RM1,700 statutory minimum wage</t>
  </si>
  <si>
    <t xml:space="preserve">Minimum wage RM1,700/month, Minimum Wages Order 2024</t>
  </si>
  <si>
    <t xml:space="preserve">Total recorded training hours 2025</t>
  </si>
  <si>
    <t xml:space="preserve">Blank cells are excluded, not counted as zero</t>
  </si>
  <si>
    <t xml:space="preserve">Staff with NO training hours recorded</t>
  </si>
  <si>
    <t xml:space="preserve">Unknown - not confirmed as zero training</t>
  </si>
  <si>
    <t xml:space="preserve">Average training hours per recorded staff</t>
  </si>
  <si>
    <t xml:space="preserve">Based only on staff with a value</t>
  </si>
  <si>
    <t xml:space="preserve">Safety induction NOT completed</t>
  </si>
  <si>
    <t xml:space="preserve">Number of distinct department labels</t>
  </si>
  <si>
    <t xml:space="preserve">Higher than the real number of departments - labels are inconsistent</t>
  </si>
  <si>
    <t xml:space="preserve">NOT AVAILABLE IN THIS FILE</t>
  </si>
  <si>
    <t xml:space="preserve">   Workplace injury / lost-time incident (LTI) count 2025</t>
  </si>
  <si>
    <t xml:space="preserve">-</t>
  </si>
  <si>
    <t xml:space="preserve">No source document provided</t>
  </si>
  <si>
    <t xml:space="preserve">   Employee turnover rate 2025 (leavers not recorded)</t>
  </si>
  <si>
    <t xml:space="preserve">   Overtime hours 2025</t>
  </si>
  <si>
    <t xml:space="preserve">   Union / worker representation status</t>
  </si>
  <si>
    <t xml:space="preserve">SINARAN PRECISION SDN BHD - HR Register Notes</t>
  </si>
  <si>
    <t xml:space="preserve">This register is maintained manually on the HR shared drive and updated monthly.</t>
  </si>
  <si>
    <t xml:space="preserve">It has not been reconciled against the HRMS since August 2025.</t>
  </si>
  <si>
    <t xml:space="preserve">Legend:</t>
  </si>
  <si>
    <t xml:space="preserve">   Blue text on yellow fill = value typed in by hand (not calculated)</t>
  </si>
  <si>
    <t xml:space="preserve">   Black text = calculated by formula from the register</t>
  </si>
  <si>
    <t xml:space="preserve">   A blank Training Hours cell means NOT RECORDED. It does not mean zero hours.</t>
  </si>
  <si>
    <t xml:space="preserve">Known issues flagged by Finance during the Nov 2025 audit and not yet fixed:</t>
  </si>
  <si>
    <t xml:space="preserve">   - Headcount in this file does not tie to the HRMS figure.</t>
  </si>
  <si>
    <t xml:space="preserve">   - Leaver dates are not being captured when staff resign.</t>
  </si>
  <si>
    <t xml:space="preserve">   - Department names are typed free-hand, so the same department appears several ways.</t>
  </si>
  <si>
    <t xml:space="preserve">MOCK DOCUMENT - SYNTHETIC TEST DATA FOR HACKATHON USE ONLY.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</si>
</sst>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General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7"/>
    <col collapsed="false" customWidth="true" hidden="false" outlineLevel="0" max="10" min="10" style="1" width="20"/>
    <col collapsed="false" customWidth="true" hidden="false" outlineLevel="0" max="11" min="11" style="1" width="17"/>
    <col collapsed="false" customWidth="true" hidden="false" outlineLevel="0" max="13" min="12" style="1" width="19"/>
    <col collapsed="false" customWidth="true" hidden="false" outlineLevel="0" max="14" min="14" style="1" width="2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15" hidden="false" customHeight="true" outlineLevel="0" collapsed="false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7" t="n">
        <v>42443</v>
      </c>
      <c r="H6" s="6"/>
      <c r="I6" s="8" t="n">
        <v>3200</v>
      </c>
      <c r="J6" s="8" t="n">
        <v>350</v>
      </c>
      <c r="K6" s="8" t="n">
        <f aca="false">ROUND((I6+J6)*0.13,2)</f>
        <v>461.5</v>
      </c>
      <c r="L6" s="8" t="n">
        <f aca="false">ROUND((I6+J6)*0.0175,2)</f>
        <v>62.13</v>
      </c>
      <c r="M6" s="6" t="n">
        <v>12</v>
      </c>
      <c r="N6" s="6" t="s">
        <v>23</v>
      </c>
    </row>
    <row r="7" customFormat="false" ht="15" hidden="false" customHeight="true" outlineLevel="0" collapsed="false">
      <c r="A7" s="6" t="s">
        <v>24</v>
      </c>
      <c r="B7" s="6" t="s">
        <v>25</v>
      </c>
      <c r="C7" s="6" t="s">
        <v>26</v>
      </c>
      <c r="D7" s="6" t="s">
        <v>27</v>
      </c>
      <c r="E7" s="6" t="s">
        <v>21</v>
      </c>
      <c r="F7" s="6" t="s">
        <v>22</v>
      </c>
      <c r="G7" s="7" t="n">
        <v>42887</v>
      </c>
      <c r="H7" s="6"/>
      <c r="I7" s="8" t="n">
        <v>3800</v>
      </c>
      <c r="J7" s="8" t="n">
        <v>400</v>
      </c>
      <c r="K7" s="8" t="n">
        <f aca="false">ROUND((I7+J7)*0.13,2)</f>
        <v>546</v>
      </c>
      <c r="L7" s="8" t="n">
        <f aca="false">ROUND((I7+J7)*0.0175,2)</f>
        <v>73.5</v>
      </c>
      <c r="M7" s="6" t="n">
        <v>8</v>
      </c>
      <c r="N7" s="6" t="s">
        <v>23</v>
      </c>
    </row>
    <row r="8" customFormat="false" ht="15" hidden="false" customHeight="true" outlineLevel="0" collapsed="false">
      <c r="A8" s="6" t="s">
        <v>28</v>
      </c>
      <c r="B8" s="6" t="s">
        <v>29</v>
      </c>
      <c r="C8" s="6" t="s">
        <v>19</v>
      </c>
      <c r="D8" s="6" t="s">
        <v>20</v>
      </c>
      <c r="E8" s="6" t="s">
        <v>21</v>
      </c>
      <c r="F8" s="6" t="s">
        <v>22</v>
      </c>
      <c r="G8" s="7" t="n">
        <v>42023</v>
      </c>
      <c r="H8" s="6"/>
      <c r="I8" s="8" t="n">
        <v>3450</v>
      </c>
      <c r="J8" s="8" t="n">
        <v>350</v>
      </c>
      <c r="K8" s="8" t="n">
        <f aca="false">ROUND((I8+J8)*0.13,2)</f>
        <v>494</v>
      </c>
      <c r="L8" s="8" t="n">
        <f aca="false">ROUND((I8+J8)*0.0175,2)</f>
        <v>66.5</v>
      </c>
      <c r="M8" s="6"/>
      <c r="N8" s="6" t="s">
        <v>23</v>
      </c>
    </row>
    <row r="9" customFormat="false" ht="15" hidden="false" customHeight="true" outlineLevel="0" collapsed="false">
      <c r="A9" s="6" t="s">
        <v>30</v>
      </c>
      <c r="B9" s="6" t="s">
        <v>31</v>
      </c>
      <c r="C9" s="6" t="s">
        <v>32</v>
      </c>
      <c r="D9" s="6" t="s">
        <v>27</v>
      </c>
      <c r="E9" s="6" t="s">
        <v>21</v>
      </c>
      <c r="F9" s="6" t="s">
        <v>22</v>
      </c>
      <c r="G9" s="7" t="n">
        <v>43710</v>
      </c>
      <c r="H9" s="6"/>
      <c r="I9" s="8" t="n">
        <v>3100</v>
      </c>
      <c r="J9" s="8" t="n">
        <v>300</v>
      </c>
      <c r="K9" s="8" t="n">
        <f aca="false">ROUND((I9+J9)*0.13,2)</f>
        <v>442</v>
      </c>
      <c r="L9" s="8" t="n">
        <f aca="false">ROUND((I9+J9)*0.0175,2)</f>
        <v>59.5</v>
      </c>
      <c r="M9" s="6" t="n">
        <v>16</v>
      </c>
      <c r="N9" s="6" t="s">
        <v>23</v>
      </c>
    </row>
    <row r="10" customFormat="false" ht="15" hidden="false" customHeight="true" outlineLevel="0" collapsed="false">
      <c r="A10" s="6" t="s">
        <v>33</v>
      </c>
      <c r="B10" s="6" t="s">
        <v>34</v>
      </c>
      <c r="C10" s="6" t="s">
        <v>19</v>
      </c>
      <c r="D10" s="6" t="s">
        <v>20</v>
      </c>
      <c r="E10" s="6" t="s">
        <v>21</v>
      </c>
      <c r="F10" s="6" t="s">
        <v>22</v>
      </c>
      <c r="G10" s="7" t="n">
        <v>41736</v>
      </c>
      <c r="H10" s="6"/>
      <c r="I10" s="8" t="n">
        <v>4100</v>
      </c>
      <c r="J10" s="8" t="n">
        <v>450</v>
      </c>
      <c r="K10" s="8" t="n">
        <f aca="false">ROUND((I10+J10)*0.13,2)</f>
        <v>591.5</v>
      </c>
      <c r="L10" s="8" t="n">
        <f aca="false">ROUND((I10+J10)*0.0175,2)</f>
        <v>79.63</v>
      </c>
      <c r="M10" s="6" t="n">
        <v>6</v>
      </c>
      <c r="N10" s="6" t="s">
        <v>23</v>
      </c>
    </row>
    <row r="11" customFormat="false" ht="15" hidden="false" customHeight="true" outlineLevel="0" collapsed="false">
      <c r="A11" s="6" t="s">
        <v>35</v>
      </c>
      <c r="B11" s="6" t="s">
        <v>36</v>
      </c>
      <c r="C11" s="6" t="s">
        <v>37</v>
      </c>
      <c r="D11" s="6" t="s">
        <v>20</v>
      </c>
      <c r="E11" s="6" t="s">
        <v>21</v>
      </c>
      <c r="F11" s="6" t="s">
        <v>22</v>
      </c>
      <c r="G11" s="7" t="n">
        <v>43416</v>
      </c>
      <c r="H11" s="6"/>
      <c r="I11" s="8" t="n">
        <v>2950</v>
      </c>
      <c r="J11" s="8" t="n">
        <v>300</v>
      </c>
      <c r="K11" s="8" t="n">
        <f aca="false">ROUND((I11+J11)*0.13,2)</f>
        <v>422.5</v>
      </c>
      <c r="L11" s="8" t="n">
        <f aca="false">ROUND((I11+J11)*0.0175,2)</f>
        <v>56.88</v>
      </c>
      <c r="M11" s="6"/>
      <c r="N11" s="6" t="s">
        <v>23</v>
      </c>
    </row>
    <row r="12" customFormat="false" ht="15" hidden="false" customHeight="true" outlineLevel="0" collapsed="false">
      <c r="A12" s="6" t="s">
        <v>38</v>
      </c>
      <c r="B12" s="6" t="s">
        <v>39</v>
      </c>
      <c r="C12" s="6" t="s">
        <v>40</v>
      </c>
      <c r="D12" s="6" t="s">
        <v>27</v>
      </c>
      <c r="E12" s="6" t="s">
        <v>21</v>
      </c>
      <c r="F12" s="6" t="s">
        <v>22</v>
      </c>
      <c r="G12" s="7" t="n">
        <v>43878</v>
      </c>
      <c r="H12" s="6"/>
      <c r="I12" s="8" t="n">
        <v>4200</v>
      </c>
      <c r="J12" s="8" t="n">
        <v>500</v>
      </c>
      <c r="K12" s="8" t="n">
        <f aca="false">ROUND((I12+J12)*0.13,2)</f>
        <v>611</v>
      </c>
      <c r="L12" s="8" t="n">
        <f aca="false">ROUND((I12+J12)*0.0175,2)</f>
        <v>82.25</v>
      </c>
      <c r="M12" s="6" t="n">
        <v>24</v>
      </c>
      <c r="N12" s="6" t="s">
        <v>23</v>
      </c>
    </row>
    <row r="13" customFormat="false" ht="15" hidden="false" customHeight="true" outlineLevel="0" collapsed="false">
      <c r="A13" s="6" t="s">
        <v>41</v>
      </c>
      <c r="B13" s="6" t="s">
        <v>42</v>
      </c>
      <c r="C13" s="6" t="s">
        <v>43</v>
      </c>
      <c r="D13" s="6" t="s">
        <v>27</v>
      </c>
      <c r="E13" s="6" t="s">
        <v>21</v>
      </c>
      <c r="F13" s="6" t="s">
        <v>22</v>
      </c>
      <c r="G13" s="7" t="n">
        <v>43591</v>
      </c>
      <c r="H13" s="6"/>
      <c r="I13" s="8" t="n">
        <v>4500</v>
      </c>
      <c r="J13" s="8" t="n">
        <v>500</v>
      </c>
      <c r="K13" s="8" t="n">
        <f aca="false">ROUND((I13+J13)*0.13,2)</f>
        <v>650</v>
      </c>
      <c r="L13" s="8" t="n">
        <f aca="false">ROUND((I13+J13)*0.0175,2)</f>
        <v>87.5</v>
      </c>
      <c r="M13" s="6" t="n">
        <v>20</v>
      </c>
      <c r="N13" s="6" t="s">
        <v>23</v>
      </c>
    </row>
    <row r="14" customFormat="false" ht="15" hidden="false" customHeight="true" outlineLevel="0" collapsed="false">
      <c r="A14" s="6" t="s">
        <v>44</v>
      </c>
      <c r="B14" s="6" t="s">
        <v>45</v>
      </c>
      <c r="C14" s="6" t="s">
        <v>19</v>
      </c>
      <c r="D14" s="6" t="s">
        <v>20</v>
      </c>
      <c r="E14" s="6" t="s">
        <v>46</v>
      </c>
      <c r="F14" s="6" t="s">
        <v>47</v>
      </c>
      <c r="G14" s="7" t="n">
        <v>44788</v>
      </c>
      <c r="H14" s="6"/>
      <c r="I14" s="8" t="n">
        <v>1700</v>
      </c>
      <c r="J14" s="8" t="n">
        <v>200</v>
      </c>
      <c r="K14" s="8" t="n">
        <f aca="false">ROUND((I14+J14)*0.13,2)</f>
        <v>247</v>
      </c>
      <c r="L14" s="8" t="n">
        <f aca="false">ROUND((I14+J14)*0.0175,2)</f>
        <v>33.25</v>
      </c>
      <c r="M14" s="6"/>
      <c r="N14" s="6" t="s">
        <v>23</v>
      </c>
    </row>
    <row r="15" customFormat="false" ht="15" hidden="false" customHeight="true" outlineLevel="0" collapsed="false">
      <c r="A15" s="6" t="s">
        <v>48</v>
      </c>
      <c r="B15" s="6" t="s">
        <v>49</v>
      </c>
      <c r="C15" s="6" t="s">
        <v>19</v>
      </c>
      <c r="D15" s="6" t="s">
        <v>20</v>
      </c>
      <c r="E15" s="6" t="s">
        <v>46</v>
      </c>
      <c r="F15" s="6" t="s">
        <v>47</v>
      </c>
      <c r="G15" s="7" t="n">
        <v>44788</v>
      </c>
      <c r="H15" s="6"/>
      <c r="I15" s="8" t="n">
        <v>1750</v>
      </c>
      <c r="J15" s="8" t="n">
        <v>200</v>
      </c>
      <c r="K15" s="8" t="n">
        <f aca="false">ROUND((I15+J15)*0.13,2)</f>
        <v>253.5</v>
      </c>
      <c r="L15" s="8" t="n">
        <f aca="false">ROUND((I15+J15)*0.0175,2)</f>
        <v>34.13</v>
      </c>
      <c r="M15" s="6"/>
      <c r="N15" s="6" t="s">
        <v>50</v>
      </c>
    </row>
    <row r="16" customFormat="false" ht="15" hidden="false" customHeight="true" outlineLevel="0" collapsed="false">
      <c r="A16" s="6" t="s">
        <v>51</v>
      </c>
      <c r="B16" s="6" t="s">
        <v>52</v>
      </c>
      <c r="C16" s="6" t="s">
        <v>26</v>
      </c>
      <c r="D16" s="6" t="s">
        <v>27</v>
      </c>
      <c r="E16" s="6" t="s">
        <v>21</v>
      </c>
      <c r="F16" s="6" t="s">
        <v>22</v>
      </c>
      <c r="G16" s="7" t="n">
        <v>44207</v>
      </c>
      <c r="H16" s="6"/>
      <c r="I16" s="8" t="n">
        <v>3300</v>
      </c>
      <c r="J16" s="8" t="n">
        <v>350</v>
      </c>
      <c r="K16" s="8" t="n">
        <f aca="false">ROUND((I16+J16)*0.13,2)</f>
        <v>474.5</v>
      </c>
      <c r="L16" s="8" t="n">
        <f aca="false">ROUND((I16+J16)*0.0175,2)</f>
        <v>63.88</v>
      </c>
      <c r="M16" s="6" t="n">
        <v>10</v>
      </c>
      <c r="N16" s="6" t="s">
        <v>23</v>
      </c>
    </row>
    <row r="17" customFormat="false" ht="15" hidden="false" customHeight="true" outlineLevel="0" collapsed="false">
      <c r="A17" s="6" t="s">
        <v>53</v>
      </c>
      <c r="B17" s="6" t="s">
        <v>54</v>
      </c>
      <c r="C17" s="6" t="s">
        <v>55</v>
      </c>
      <c r="D17" s="6" t="s">
        <v>20</v>
      </c>
      <c r="E17" s="6" t="s">
        <v>21</v>
      </c>
      <c r="F17" s="6" t="s">
        <v>22</v>
      </c>
      <c r="G17" s="7" t="n">
        <v>43011</v>
      </c>
      <c r="H17" s="6"/>
      <c r="I17" s="8" t="n">
        <v>3600</v>
      </c>
      <c r="J17" s="8" t="n">
        <v>400</v>
      </c>
      <c r="K17" s="8" t="n">
        <f aca="false">ROUND((I17+J17)*0.13,2)</f>
        <v>520</v>
      </c>
      <c r="L17" s="8" t="n">
        <f aca="false">ROUND((I17+J17)*0.0175,2)</f>
        <v>70</v>
      </c>
      <c r="M17" s="6" t="n">
        <v>14</v>
      </c>
      <c r="N17" s="6" t="s">
        <v>23</v>
      </c>
    </row>
    <row r="18" customFormat="false" ht="15" hidden="false" customHeight="true" outlineLevel="0" collapsed="false">
      <c r="A18" s="6" t="s">
        <v>56</v>
      </c>
      <c r="B18" s="6" t="s">
        <v>57</v>
      </c>
      <c r="C18" s="6" t="s">
        <v>32</v>
      </c>
      <c r="D18" s="6" t="s">
        <v>27</v>
      </c>
      <c r="E18" s="6" t="s">
        <v>21</v>
      </c>
      <c r="F18" s="6" t="s">
        <v>22</v>
      </c>
      <c r="G18" s="7" t="n">
        <v>44032</v>
      </c>
      <c r="H18" s="6"/>
      <c r="I18" s="8" t="n">
        <v>3050</v>
      </c>
      <c r="J18" s="8" t="n">
        <v>300</v>
      </c>
      <c r="K18" s="8" t="n">
        <f aca="false">ROUND((I18+J18)*0.13,2)</f>
        <v>435.5</v>
      </c>
      <c r="L18" s="8" t="n">
        <f aca="false">ROUND((I18+J18)*0.0175,2)</f>
        <v>58.63</v>
      </c>
      <c r="M18" s="6" t="n">
        <v>16</v>
      </c>
      <c r="N18" s="6" t="s">
        <v>23</v>
      </c>
    </row>
    <row r="19" customFormat="false" ht="15" hidden="false" customHeight="true" outlineLevel="0" collapsed="false">
      <c r="A19" s="6" t="s">
        <v>58</v>
      </c>
      <c r="B19" s="6" t="s">
        <v>59</v>
      </c>
      <c r="C19" s="6" t="s">
        <v>19</v>
      </c>
      <c r="D19" s="6" t="s">
        <v>20</v>
      </c>
      <c r="E19" s="6" t="s">
        <v>21</v>
      </c>
      <c r="F19" s="6" t="s">
        <v>22</v>
      </c>
      <c r="G19" s="7" t="n">
        <v>42709</v>
      </c>
      <c r="H19" s="6"/>
      <c r="I19" s="8" t="n">
        <v>3400</v>
      </c>
      <c r="J19" s="8" t="n">
        <v>350</v>
      </c>
      <c r="K19" s="8" t="n">
        <f aca="false">ROUND((I19+J19)*0.13,2)</f>
        <v>487.5</v>
      </c>
      <c r="L19" s="8" t="n">
        <f aca="false">ROUND((I19+J19)*0.0175,2)</f>
        <v>65.63</v>
      </c>
      <c r="M19" s="6"/>
      <c r="N19" s="6" t="s">
        <v>23</v>
      </c>
    </row>
    <row r="20" customFormat="false" ht="15" hidden="false" customHeight="true" outlineLevel="0" collapsed="false">
      <c r="A20" s="6" t="s">
        <v>60</v>
      </c>
      <c r="B20" s="6" t="s">
        <v>61</v>
      </c>
      <c r="C20" s="6" t="s">
        <v>62</v>
      </c>
      <c r="D20" s="6" t="s">
        <v>27</v>
      </c>
      <c r="E20" s="6" t="s">
        <v>21</v>
      </c>
      <c r="F20" s="6" t="s">
        <v>22</v>
      </c>
      <c r="G20" s="7" t="n">
        <v>44284</v>
      </c>
      <c r="H20" s="6"/>
      <c r="I20" s="8" t="n">
        <v>3900</v>
      </c>
      <c r="J20" s="8" t="n">
        <v>600</v>
      </c>
      <c r="K20" s="8" t="n">
        <f aca="false">ROUND((I20+J20)*0.13,2)</f>
        <v>585</v>
      </c>
      <c r="L20" s="8" t="n">
        <f aca="false">ROUND((I20+J20)*0.0175,2)</f>
        <v>78.75</v>
      </c>
      <c r="M20" s="6" t="n">
        <v>12</v>
      </c>
      <c r="N20" s="6" t="s">
        <v>23</v>
      </c>
    </row>
    <row r="21" customFormat="false" ht="15" hidden="false" customHeight="true" outlineLevel="0" collapsed="false">
      <c r="A21" s="6" t="s">
        <v>63</v>
      </c>
      <c r="B21" s="6" t="s">
        <v>64</v>
      </c>
      <c r="C21" s="6" t="s">
        <v>19</v>
      </c>
      <c r="D21" s="6" t="s">
        <v>20</v>
      </c>
      <c r="E21" s="6" t="s">
        <v>21</v>
      </c>
      <c r="F21" s="6" t="s">
        <v>22</v>
      </c>
      <c r="G21" s="6" t="s">
        <v>65</v>
      </c>
      <c r="H21" s="6"/>
      <c r="I21" s="8" t="n">
        <v>3150</v>
      </c>
      <c r="J21" s="8" t="n">
        <v>300</v>
      </c>
      <c r="K21" s="8" t="n">
        <f aca="false">ROUND((I21+J21)*0.13,2)</f>
        <v>448.5</v>
      </c>
      <c r="L21" s="8" t="n">
        <f aca="false">ROUND((I21+J21)*0.0175,2)</f>
        <v>60.38</v>
      </c>
      <c r="M21" s="6" t="n">
        <v>8</v>
      </c>
      <c r="N21" s="6" t="s">
        <v>23</v>
      </c>
    </row>
    <row r="22" customFormat="false" ht="15" hidden="false" customHeight="true" outlineLevel="0" collapsed="false">
      <c r="A22" s="6" t="s">
        <v>66</v>
      </c>
      <c r="B22" s="6" t="s">
        <v>67</v>
      </c>
      <c r="C22" s="6" t="s">
        <v>19</v>
      </c>
      <c r="D22" s="6" t="s">
        <v>20</v>
      </c>
      <c r="E22" s="6" t="s">
        <v>68</v>
      </c>
      <c r="F22" s="6" t="s">
        <v>47</v>
      </c>
      <c r="G22" s="7" t="n">
        <v>44963</v>
      </c>
      <c r="H22" s="6"/>
      <c r="I22" s="8" t="n">
        <v>1850</v>
      </c>
      <c r="J22" s="8" t="n">
        <v>200</v>
      </c>
      <c r="K22" s="8" t="n">
        <f aca="false">ROUND((I22+J22)*0.13,2)</f>
        <v>266.5</v>
      </c>
      <c r="L22" s="8" t="n">
        <f aca="false">ROUND((I22+J22)*0.0175,2)</f>
        <v>35.88</v>
      </c>
      <c r="M22" s="6"/>
      <c r="N22" s="6" t="s">
        <v>23</v>
      </c>
    </row>
    <row r="23" customFormat="false" ht="15" hidden="false" customHeight="true" outlineLevel="0" collapsed="false">
      <c r="A23" s="6" t="s">
        <v>69</v>
      </c>
      <c r="B23" s="6" t="s">
        <v>70</v>
      </c>
      <c r="C23" s="6" t="s">
        <v>19</v>
      </c>
      <c r="D23" s="6" t="s">
        <v>20</v>
      </c>
      <c r="E23" s="6" t="s">
        <v>68</v>
      </c>
      <c r="F23" s="6" t="s">
        <v>47</v>
      </c>
      <c r="G23" s="7" t="n">
        <v>44963</v>
      </c>
      <c r="H23" s="6"/>
      <c r="I23" s="8" t="n">
        <v>1850</v>
      </c>
      <c r="J23" s="8" t="n">
        <v>200</v>
      </c>
      <c r="K23" s="8" t="n">
        <f aca="false">ROUND((I23+J23)*0.13,2)</f>
        <v>266.5</v>
      </c>
      <c r="L23" s="8" t="n">
        <f aca="false">ROUND((I23+J23)*0.0175,2)</f>
        <v>35.88</v>
      </c>
      <c r="M23" s="6" t="n">
        <v>4</v>
      </c>
      <c r="N23" s="6" t="s">
        <v>23</v>
      </c>
    </row>
    <row r="24" customFormat="false" ht="15" hidden="false" customHeight="true" outlineLevel="0" collapsed="false">
      <c r="A24" s="6" t="s">
        <v>71</v>
      </c>
      <c r="B24" s="6" t="s">
        <v>72</v>
      </c>
      <c r="C24" s="6" t="s">
        <v>26</v>
      </c>
      <c r="D24" s="6" t="s">
        <v>27</v>
      </c>
      <c r="E24" s="6" t="s">
        <v>21</v>
      </c>
      <c r="F24" s="6" t="s">
        <v>22</v>
      </c>
      <c r="G24" s="7" t="n">
        <v>44697</v>
      </c>
      <c r="H24" s="6"/>
      <c r="I24" s="8" t="n">
        <v>2900</v>
      </c>
      <c r="J24" s="8" t="n">
        <v>300</v>
      </c>
      <c r="K24" s="8" t="n">
        <f aca="false">ROUND((I24+J24)*0.13,2)</f>
        <v>416</v>
      </c>
      <c r="L24" s="8" t="n">
        <f aca="false">ROUND((I24+J24)*0.0175,2)</f>
        <v>56</v>
      </c>
      <c r="M24" s="6" t="n">
        <v>8</v>
      </c>
      <c r="N24" s="6" t="s">
        <v>23</v>
      </c>
    </row>
    <row r="25" customFormat="false" ht="15" hidden="false" customHeight="true" outlineLevel="0" collapsed="false">
      <c r="A25" s="6" t="s">
        <v>73</v>
      </c>
      <c r="B25" s="6" t="s">
        <v>74</v>
      </c>
      <c r="C25" s="6" t="s">
        <v>55</v>
      </c>
      <c r="D25" s="6" t="s">
        <v>20</v>
      </c>
      <c r="E25" s="6" t="s">
        <v>21</v>
      </c>
      <c r="F25" s="6" t="s">
        <v>22</v>
      </c>
      <c r="G25" s="7" t="n">
        <v>43339</v>
      </c>
      <c r="H25" s="6"/>
      <c r="I25" s="8" t="n">
        <v>3550</v>
      </c>
      <c r="J25" s="8" t="n">
        <v>400</v>
      </c>
      <c r="K25" s="8" t="n">
        <f aca="false">ROUND((I25+J25)*0.13,2)</f>
        <v>513.5</v>
      </c>
      <c r="L25" s="8" t="n">
        <f aca="false">ROUND((I25+J25)*0.0175,2)</f>
        <v>69.13</v>
      </c>
      <c r="M25" s="6"/>
      <c r="N25" s="6" t="s">
        <v>23</v>
      </c>
    </row>
    <row r="26" customFormat="false" ht="15" hidden="false" customHeight="true" outlineLevel="0" collapsed="false">
      <c r="A26" s="6" t="s">
        <v>75</v>
      </c>
      <c r="B26" s="6" t="s">
        <v>76</v>
      </c>
      <c r="C26" s="6" t="s">
        <v>32</v>
      </c>
      <c r="D26" s="6"/>
      <c r="E26" s="6" t="s">
        <v>21</v>
      </c>
      <c r="F26" s="6" t="s">
        <v>22</v>
      </c>
      <c r="G26" s="7" t="n">
        <v>44452</v>
      </c>
      <c r="H26" s="6"/>
      <c r="I26" s="8" t="n">
        <v>3000</v>
      </c>
      <c r="J26" s="8" t="n">
        <v>300</v>
      </c>
      <c r="K26" s="8" t="n">
        <f aca="false">ROUND((I26+J26)*0.13,2)</f>
        <v>429</v>
      </c>
      <c r="L26" s="8" t="n">
        <f aca="false">ROUND((I26+J26)*0.0175,2)</f>
        <v>57.75</v>
      </c>
      <c r="M26" s="6" t="n">
        <v>16</v>
      </c>
      <c r="N26" s="6" t="s">
        <v>23</v>
      </c>
    </row>
    <row r="27" customFormat="false" ht="15" hidden="false" customHeight="true" outlineLevel="0" collapsed="false">
      <c r="A27" s="6" t="s">
        <v>77</v>
      </c>
      <c r="B27" s="6" t="s">
        <v>78</v>
      </c>
      <c r="C27" s="6" t="s">
        <v>79</v>
      </c>
      <c r="D27" s="6" t="s">
        <v>20</v>
      </c>
      <c r="E27" s="6" t="s">
        <v>21</v>
      </c>
      <c r="F27" s="6" t="s">
        <v>22</v>
      </c>
      <c r="G27" s="7" t="n">
        <v>43563</v>
      </c>
      <c r="H27" s="6"/>
      <c r="I27" s="8" t="n">
        <v>3250</v>
      </c>
      <c r="J27" s="8" t="n">
        <v>350</v>
      </c>
      <c r="K27" s="8" t="n">
        <f aca="false">ROUND((I27+J27)*0.13,2)</f>
        <v>468</v>
      </c>
      <c r="L27" s="8" t="n">
        <f aca="false">ROUND((I27+J27)*0.0175,2)</f>
        <v>63</v>
      </c>
      <c r="M27" s="6" t="n">
        <v>6</v>
      </c>
      <c r="N27" s="6" t="s">
        <v>23</v>
      </c>
    </row>
    <row r="28" customFormat="false" ht="15" hidden="false" customHeight="true" outlineLevel="0" collapsed="false">
      <c r="A28" s="6" t="s">
        <v>80</v>
      </c>
      <c r="B28" s="6" t="s">
        <v>81</v>
      </c>
      <c r="C28" s="6" t="s">
        <v>43</v>
      </c>
      <c r="D28" s="6" t="s">
        <v>27</v>
      </c>
      <c r="E28" s="6" t="s">
        <v>21</v>
      </c>
      <c r="F28" s="6" t="s">
        <v>22</v>
      </c>
      <c r="G28" s="7" t="n">
        <v>44137</v>
      </c>
      <c r="H28" s="6"/>
      <c r="I28" s="8" t="n">
        <v>4000</v>
      </c>
      <c r="J28" s="8" t="n">
        <v>450</v>
      </c>
      <c r="K28" s="8" t="n">
        <f aca="false">ROUND((I28+J28)*0.13,2)</f>
        <v>578.5</v>
      </c>
      <c r="L28" s="8" t="n">
        <f aca="false">ROUND((I28+J28)*0.0175,2)</f>
        <v>77.88</v>
      </c>
      <c r="M28" s="6" t="n">
        <v>20</v>
      </c>
      <c r="N28" s="6" t="s">
        <v>23</v>
      </c>
    </row>
    <row r="29" customFormat="false" ht="15" hidden="false" customHeight="true" outlineLevel="0" collapsed="false">
      <c r="A29" s="6" t="s">
        <v>82</v>
      </c>
      <c r="B29" s="6" t="s">
        <v>83</v>
      </c>
      <c r="C29" s="6" t="s">
        <v>19</v>
      </c>
      <c r="D29" s="6" t="s">
        <v>20</v>
      </c>
      <c r="E29" s="6" t="s">
        <v>21</v>
      </c>
      <c r="F29" s="6" t="s">
        <v>22</v>
      </c>
      <c r="G29" s="6" t="s">
        <v>84</v>
      </c>
      <c r="H29" s="6"/>
      <c r="I29" s="8" t="n">
        <v>3350</v>
      </c>
      <c r="J29" s="8" t="n">
        <v>350</v>
      </c>
      <c r="K29" s="8" t="n">
        <f aca="false">ROUND((I29+J29)*0.13,2)</f>
        <v>481</v>
      </c>
      <c r="L29" s="8" t="n">
        <f aca="false">ROUND((I29+J29)*0.0175,2)</f>
        <v>64.75</v>
      </c>
      <c r="M29" s="6"/>
      <c r="N29" s="6" t="s">
        <v>23</v>
      </c>
    </row>
    <row r="30" customFormat="false" ht="15" hidden="false" customHeight="true" outlineLevel="0" collapsed="false">
      <c r="A30" s="6" t="s">
        <v>85</v>
      </c>
      <c r="B30" s="6" t="s">
        <v>86</v>
      </c>
      <c r="C30" s="6" t="s">
        <v>26</v>
      </c>
      <c r="D30" s="6" t="s">
        <v>27</v>
      </c>
      <c r="E30" s="6" t="s">
        <v>21</v>
      </c>
      <c r="F30" s="6" t="s">
        <v>22</v>
      </c>
      <c r="G30" s="7" t="n">
        <v>44585</v>
      </c>
      <c r="H30" s="6"/>
      <c r="I30" s="8" t="n">
        <v>2850</v>
      </c>
      <c r="J30" s="8" t="n">
        <v>300</v>
      </c>
      <c r="K30" s="8" t="n">
        <f aca="false">ROUND((I30+J30)*0.13,2)</f>
        <v>409.5</v>
      </c>
      <c r="L30" s="8" t="n">
        <f aca="false">ROUND((I30+J30)*0.0175,2)</f>
        <v>55.13</v>
      </c>
      <c r="M30" s="6" t="n">
        <v>8</v>
      </c>
      <c r="N30" s="6" t="s">
        <v>23</v>
      </c>
    </row>
    <row r="31" customFormat="false" ht="15" hidden="false" customHeight="true" outlineLevel="0" collapsed="false">
      <c r="A31" s="6" t="s">
        <v>87</v>
      </c>
      <c r="B31" s="6" t="s">
        <v>88</v>
      </c>
      <c r="C31" s="6" t="s">
        <v>89</v>
      </c>
      <c r="D31" s="6" t="s">
        <v>20</v>
      </c>
      <c r="E31" s="6" t="s">
        <v>21</v>
      </c>
      <c r="F31" s="6" t="s">
        <v>22</v>
      </c>
      <c r="G31" s="7" t="n">
        <v>42779</v>
      </c>
      <c r="H31" s="6"/>
      <c r="I31" s="8" t="n">
        <v>3500</v>
      </c>
      <c r="J31" s="8" t="n">
        <v>350</v>
      </c>
      <c r="K31" s="8" t="n">
        <f aca="false">ROUND((I31+J31)*0.13,2)</f>
        <v>500.5</v>
      </c>
      <c r="L31" s="8" t="n">
        <f aca="false">ROUND((I31+J31)*0.0175,2)</f>
        <v>67.38</v>
      </c>
      <c r="M31" s="6" t="n">
        <v>12</v>
      </c>
      <c r="N31" s="6" t="s">
        <v>23</v>
      </c>
    </row>
    <row r="32" customFormat="false" ht="15" hidden="false" customHeight="true" outlineLevel="0" collapsed="false">
      <c r="A32" s="6" t="s">
        <v>90</v>
      </c>
      <c r="B32" s="6" t="s">
        <v>91</v>
      </c>
      <c r="C32" s="6" t="s">
        <v>62</v>
      </c>
      <c r="D32" s="6" t="s">
        <v>20</v>
      </c>
      <c r="E32" s="6" t="s">
        <v>21</v>
      </c>
      <c r="F32" s="6" t="s">
        <v>22</v>
      </c>
      <c r="G32" s="7" t="n">
        <v>43626</v>
      </c>
      <c r="H32" s="6"/>
      <c r="I32" s="8" t="n">
        <v>4300</v>
      </c>
      <c r="J32" s="8" t="n">
        <v>700</v>
      </c>
      <c r="K32" s="8" t="n">
        <f aca="false">ROUND((I32+J32)*0.13,2)</f>
        <v>650</v>
      </c>
      <c r="L32" s="8" t="n">
        <f aca="false">ROUND((I32+J32)*0.0175,2)</f>
        <v>87.5</v>
      </c>
      <c r="M32" s="6" t="n">
        <v>12</v>
      </c>
      <c r="N32" s="6" t="s">
        <v>23</v>
      </c>
    </row>
    <row r="33" customFormat="false" ht="15" hidden="false" customHeight="true" outlineLevel="0" collapsed="false">
      <c r="A33" s="6" t="s">
        <v>92</v>
      </c>
      <c r="B33" s="6" t="s">
        <v>93</v>
      </c>
      <c r="C33" s="6" t="s">
        <v>40</v>
      </c>
      <c r="D33" s="6" t="s">
        <v>27</v>
      </c>
      <c r="E33" s="6" t="s">
        <v>21</v>
      </c>
      <c r="F33" s="6" t="s">
        <v>22</v>
      </c>
      <c r="G33" s="7" t="n">
        <v>44410</v>
      </c>
      <c r="H33" s="6"/>
      <c r="I33" s="8" t="n">
        <v>3200</v>
      </c>
      <c r="J33" s="8" t="n">
        <v>350</v>
      </c>
      <c r="K33" s="8" t="n">
        <f aca="false">ROUND((I33+J33)*0.13,2)</f>
        <v>461.5</v>
      </c>
      <c r="L33" s="8" t="n">
        <f aca="false">ROUND((I33+J33)*0.0175,2)</f>
        <v>62.13</v>
      </c>
      <c r="M33" s="6" t="n">
        <v>24</v>
      </c>
      <c r="N33" s="6" t="s">
        <v>23</v>
      </c>
    </row>
    <row r="34" customFormat="false" ht="15" hidden="false" customHeight="true" outlineLevel="0" collapsed="false">
      <c r="A34" s="6" t="s">
        <v>94</v>
      </c>
      <c r="B34" s="6" t="s">
        <v>95</v>
      </c>
      <c r="C34" s="6" t="s">
        <v>55</v>
      </c>
      <c r="D34" s="6" t="s">
        <v>20</v>
      </c>
      <c r="E34" s="6" t="s">
        <v>21</v>
      </c>
      <c r="F34" s="6" t="s">
        <v>22</v>
      </c>
      <c r="G34" s="7" t="n">
        <v>42520</v>
      </c>
      <c r="H34" s="6"/>
      <c r="I34" s="8" t="n">
        <v>3700</v>
      </c>
      <c r="J34" s="8" t="n">
        <v>400</v>
      </c>
      <c r="K34" s="8" t="n">
        <f aca="false">ROUND((I34+J34)*0.13,2)</f>
        <v>533</v>
      </c>
      <c r="L34" s="8" t="n">
        <f aca="false">ROUND((I34+J34)*0.0175,2)</f>
        <v>71.75</v>
      </c>
      <c r="M34" s="6"/>
      <c r="N34" s="6" t="s">
        <v>23</v>
      </c>
    </row>
    <row r="35" customFormat="false" ht="15" hidden="false" customHeight="true" outlineLevel="0" collapsed="false">
      <c r="A35" s="6" t="s">
        <v>96</v>
      </c>
      <c r="B35" s="6" t="s">
        <v>97</v>
      </c>
      <c r="C35" s="6" t="s">
        <v>32</v>
      </c>
      <c r="D35" s="6"/>
      <c r="E35" s="6" t="s">
        <v>21</v>
      </c>
      <c r="F35" s="6" t="s">
        <v>22</v>
      </c>
      <c r="G35" s="7" t="n">
        <v>45005</v>
      </c>
      <c r="H35" s="6"/>
      <c r="I35" s="8" t="n">
        <v>2800</v>
      </c>
      <c r="J35" s="8" t="n">
        <v>300</v>
      </c>
      <c r="K35" s="8" t="n">
        <f aca="false">ROUND((I35+J35)*0.13,2)</f>
        <v>403</v>
      </c>
      <c r="L35" s="8" t="n">
        <f aca="false">ROUND((I35+J35)*0.0175,2)</f>
        <v>54.25</v>
      </c>
      <c r="M35" s="6" t="n">
        <v>16</v>
      </c>
      <c r="N35" s="6" t="s">
        <v>23</v>
      </c>
    </row>
    <row r="36" customFormat="false" ht="15" hidden="false" customHeight="true" outlineLevel="0" collapsed="false">
      <c r="A36" s="6" t="s">
        <v>98</v>
      </c>
      <c r="B36" s="6" t="s">
        <v>99</v>
      </c>
      <c r="C36" s="6" t="s">
        <v>19</v>
      </c>
      <c r="D36" s="6" t="s">
        <v>20</v>
      </c>
      <c r="E36" s="6" t="s">
        <v>21</v>
      </c>
      <c r="F36" s="6" t="s">
        <v>22</v>
      </c>
      <c r="G36" s="7" t="n">
        <v>43115</v>
      </c>
      <c r="H36" s="6"/>
      <c r="I36" s="8" t="n">
        <v>3300</v>
      </c>
      <c r="J36" s="8" t="n">
        <v>350</v>
      </c>
      <c r="K36" s="8" t="n">
        <f aca="false">ROUND((I36+J36)*0.13,2)</f>
        <v>474.5</v>
      </c>
      <c r="L36" s="8" t="n">
        <f aca="false">ROUND((I36+J36)*0.0175,2)</f>
        <v>63.88</v>
      </c>
      <c r="M36" s="6" t="n">
        <v>8</v>
      </c>
      <c r="N36" s="6" t="s">
        <v>23</v>
      </c>
    </row>
    <row r="37" customFormat="false" ht="15" hidden="false" customHeight="true" outlineLevel="0" collapsed="false">
      <c r="A37" s="6" t="s">
        <v>98</v>
      </c>
      <c r="B37" s="6" t="s">
        <v>99</v>
      </c>
      <c r="C37" s="6" t="s">
        <v>37</v>
      </c>
      <c r="D37" s="6" t="s">
        <v>20</v>
      </c>
      <c r="E37" s="6" t="s">
        <v>21</v>
      </c>
      <c r="F37" s="6" t="s">
        <v>22</v>
      </c>
      <c r="G37" s="7" t="n">
        <v>43115</v>
      </c>
      <c r="H37" s="6"/>
      <c r="I37" s="8" t="n">
        <v>3300</v>
      </c>
      <c r="J37" s="8" t="n">
        <v>350</v>
      </c>
      <c r="K37" s="8" t="n">
        <f aca="false">ROUND((I37+J37)*0.13,2)</f>
        <v>474.5</v>
      </c>
      <c r="L37" s="8" t="n">
        <f aca="false">ROUND((I37+J37)*0.0175,2)</f>
        <v>63.88</v>
      </c>
      <c r="M37" s="6" t="n">
        <v>8</v>
      </c>
      <c r="N37" s="6" t="s">
        <v>23</v>
      </c>
    </row>
    <row r="38" customFormat="false" ht="15" hidden="false" customHeight="true" outlineLevel="0" collapsed="false">
      <c r="A38" s="6" t="s">
        <v>100</v>
      </c>
      <c r="B38" s="6" t="s">
        <v>101</v>
      </c>
      <c r="C38" s="6" t="s">
        <v>26</v>
      </c>
      <c r="D38" s="6"/>
      <c r="E38" s="6" t="s">
        <v>21</v>
      </c>
      <c r="F38" s="6" t="s">
        <v>22</v>
      </c>
      <c r="G38" s="7" t="n">
        <v>44809</v>
      </c>
      <c r="H38" s="6"/>
      <c r="I38" s="8" t="n">
        <v>2750</v>
      </c>
      <c r="J38" s="8" t="n">
        <v>300</v>
      </c>
      <c r="K38" s="8" t="n">
        <f aca="false">ROUND((I38+J38)*0.13,2)</f>
        <v>396.5</v>
      </c>
      <c r="L38" s="8" t="n">
        <f aca="false">ROUND((I38+J38)*0.0175,2)</f>
        <v>53.38</v>
      </c>
      <c r="M38" s="6"/>
      <c r="N38" s="6" t="s">
        <v>23</v>
      </c>
    </row>
    <row r="39" customFormat="false" ht="15" hidden="false" customHeight="true" outlineLevel="0" collapsed="false">
      <c r="A39" s="6" t="s">
        <v>102</v>
      </c>
      <c r="B39" s="6" t="s">
        <v>103</v>
      </c>
      <c r="C39" s="6" t="s">
        <v>19</v>
      </c>
      <c r="D39" s="6" t="s">
        <v>20</v>
      </c>
      <c r="E39" s="6" t="s">
        <v>21</v>
      </c>
      <c r="F39" s="6" t="s">
        <v>22</v>
      </c>
      <c r="G39" s="7" t="n">
        <v>43901</v>
      </c>
      <c r="H39" s="6"/>
      <c r="I39" s="8" t="n">
        <v>3150</v>
      </c>
      <c r="J39" s="8" t="n">
        <v>300</v>
      </c>
      <c r="K39" s="8" t="n">
        <f aca="false">ROUND((I39+J39)*0.13,2)</f>
        <v>448.5</v>
      </c>
      <c r="L39" s="8" t="n">
        <f aca="false">ROUND((I39+J39)*0.0175,2)</f>
        <v>60.38</v>
      </c>
      <c r="M39" s="6" t="n">
        <v>6</v>
      </c>
      <c r="N39" s="6" t="s">
        <v>23</v>
      </c>
    </row>
    <row r="40" customFormat="false" ht="15" hidden="false" customHeight="true" outlineLevel="0" collapsed="false">
      <c r="A40" s="6" t="s">
        <v>104</v>
      </c>
      <c r="B40" s="6" t="s">
        <v>105</v>
      </c>
      <c r="C40" s="6" t="s">
        <v>19</v>
      </c>
      <c r="D40" s="6" t="s">
        <v>20</v>
      </c>
      <c r="E40" s="6" t="s">
        <v>21</v>
      </c>
      <c r="F40" s="6" t="s">
        <v>106</v>
      </c>
      <c r="G40" s="7" t="n">
        <v>43668</v>
      </c>
      <c r="H40" s="6"/>
      <c r="I40" s="8" t="n">
        <v>3250</v>
      </c>
      <c r="J40" s="8" t="n">
        <v>350</v>
      </c>
      <c r="K40" s="8" t="n">
        <f aca="false">ROUND((I40+J40)*0.13,2)</f>
        <v>468</v>
      </c>
      <c r="L40" s="8" t="n">
        <f aca="false">ROUND((I40+J40)*0.0175,2)</f>
        <v>63</v>
      </c>
      <c r="M40" s="6" t="n">
        <v>6</v>
      </c>
      <c r="N40" s="6" t="s">
        <v>23</v>
      </c>
    </row>
    <row r="41" customFormat="false" ht="15" hidden="false" customHeight="true" outlineLevel="0" collapsed="false">
      <c r="A41" s="6" t="s">
        <v>107</v>
      </c>
      <c r="B41" s="6" t="s">
        <v>108</v>
      </c>
      <c r="C41" s="6" t="s">
        <v>43</v>
      </c>
      <c r="D41" s="6" t="s">
        <v>27</v>
      </c>
      <c r="E41" s="6" t="s">
        <v>21</v>
      </c>
      <c r="F41" s="6" t="s">
        <v>22</v>
      </c>
      <c r="G41" s="7" t="n">
        <v>44536</v>
      </c>
      <c r="H41" s="6"/>
      <c r="I41" s="8" t="n">
        <v>3850</v>
      </c>
      <c r="J41" s="8" t="n">
        <v>400</v>
      </c>
      <c r="K41" s="8" t="n">
        <f aca="false">ROUND((I41+J41)*0.13,2)</f>
        <v>552.5</v>
      </c>
      <c r="L41" s="8" t="n">
        <f aca="false">ROUND((I41+J41)*0.0175,2)</f>
        <v>74.38</v>
      </c>
      <c r="M41" s="6" t="n">
        <v>20</v>
      </c>
      <c r="N41" s="6" t="s">
        <v>23</v>
      </c>
    </row>
    <row r="42" customFormat="false" ht="15" hidden="false" customHeight="true" outlineLevel="0" collapsed="false">
      <c r="A42" s="6" t="s">
        <v>109</v>
      </c>
      <c r="B42" s="6" t="s">
        <v>110</v>
      </c>
      <c r="C42" s="6" t="s">
        <v>55</v>
      </c>
      <c r="D42" s="6" t="s">
        <v>20</v>
      </c>
      <c r="E42" s="6" t="s">
        <v>21</v>
      </c>
      <c r="F42" s="6" t="s">
        <v>22</v>
      </c>
      <c r="G42" s="7" t="n">
        <v>45096</v>
      </c>
      <c r="H42" s="6"/>
      <c r="I42" s="8" t="n">
        <v>2900</v>
      </c>
      <c r="J42" s="8" t="n">
        <v>300</v>
      </c>
      <c r="K42" s="8" t="n">
        <f aca="false">ROUND((I42+J42)*0.13,2)</f>
        <v>416</v>
      </c>
      <c r="L42" s="8" t="n">
        <f aca="false">ROUND((I42+J42)*0.0175,2)</f>
        <v>56</v>
      </c>
      <c r="M42" s="6"/>
      <c r="N42" s="6" t="s">
        <v>50</v>
      </c>
    </row>
    <row r="43" customFormat="false" ht="15" hidden="false" customHeight="true" outlineLevel="0" collapsed="false">
      <c r="A43" s="6" t="s">
        <v>111</v>
      </c>
      <c r="B43" s="6" t="s">
        <v>112</v>
      </c>
      <c r="C43" s="6" t="s">
        <v>32</v>
      </c>
      <c r="D43" s="6" t="s">
        <v>27</v>
      </c>
      <c r="E43" s="6" t="s">
        <v>21</v>
      </c>
      <c r="F43" s="6" t="s">
        <v>22</v>
      </c>
      <c r="G43" s="7" t="n">
        <v>45152</v>
      </c>
      <c r="H43" s="6"/>
      <c r="I43" s="8" t="n">
        <v>2700</v>
      </c>
      <c r="J43" s="8" t="n">
        <v>250</v>
      </c>
      <c r="K43" s="8" t="n">
        <f aca="false">ROUND((I43+J43)*0.13,2)</f>
        <v>383.5</v>
      </c>
      <c r="L43" s="8" t="n">
        <f aca="false">ROUND((I43+J43)*0.0175,2)</f>
        <v>51.63</v>
      </c>
      <c r="M43" s="6" t="n">
        <v>16</v>
      </c>
      <c r="N43" s="6" t="s">
        <v>23</v>
      </c>
    </row>
    <row r="44" customFormat="false" ht="15" hidden="false" customHeight="true" outlineLevel="0" collapsed="false">
      <c r="A44" s="6" t="s">
        <v>113</v>
      </c>
      <c r="B44" s="6" t="s">
        <v>114</v>
      </c>
      <c r="C44" s="6" t="s">
        <v>19</v>
      </c>
      <c r="D44" s="6" t="s">
        <v>20</v>
      </c>
      <c r="E44" s="6" t="s">
        <v>46</v>
      </c>
      <c r="F44" s="6" t="s">
        <v>47</v>
      </c>
      <c r="G44" s="7" t="n">
        <v>45299</v>
      </c>
      <c r="H44" s="6"/>
      <c r="I44" s="8" t="n">
        <v>1900</v>
      </c>
      <c r="J44" s="8" t="n">
        <v>200</v>
      </c>
      <c r="K44" s="8" t="n">
        <f aca="false">ROUND((I44+J44)*0.13,2)</f>
        <v>273</v>
      </c>
      <c r="L44" s="8" t="n">
        <f aca="false">ROUND((I44+J44)*0.0175,2)</f>
        <v>36.75</v>
      </c>
      <c r="M44" s="6" t="n">
        <v>4</v>
      </c>
      <c r="N44" s="6" t="s">
        <v>23</v>
      </c>
    </row>
    <row r="45" customFormat="false" ht="15" hidden="false" customHeight="true" outlineLevel="0" collapsed="false">
      <c r="A45" s="6" t="s">
        <v>115</v>
      </c>
      <c r="B45" s="6" t="s">
        <v>116</v>
      </c>
      <c r="C45" s="6" t="s">
        <v>19</v>
      </c>
      <c r="D45" s="6"/>
      <c r="E45" s="6" t="s">
        <v>21</v>
      </c>
      <c r="F45" s="6" t="s">
        <v>22</v>
      </c>
      <c r="G45" s="7" t="n">
        <v>44655</v>
      </c>
      <c r="H45" s="6"/>
      <c r="I45" s="8" t="n">
        <v>3100</v>
      </c>
      <c r="J45" s="8" t="n">
        <v>300</v>
      </c>
      <c r="K45" s="8" t="n">
        <f aca="false">ROUND((I45+J45)*0.13,2)</f>
        <v>442</v>
      </c>
      <c r="L45" s="8" t="n">
        <f aca="false">ROUND((I45+J45)*0.0175,2)</f>
        <v>59.5</v>
      </c>
      <c r="M45" s="6" t="n">
        <v>8</v>
      </c>
      <c r="N45" s="6" t="s">
        <v>23</v>
      </c>
    </row>
    <row r="46" customFormat="false" ht="15" hidden="false" customHeight="true" outlineLevel="0" collapsed="false">
      <c r="A46" s="6" t="s">
        <v>117</v>
      </c>
      <c r="B46" s="6" t="s">
        <v>118</v>
      </c>
      <c r="C46" s="6" t="s">
        <v>26</v>
      </c>
      <c r="D46" s="6" t="s">
        <v>27</v>
      </c>
      <c r="E46" s="6" t="s">
        <v>21</v>
      </c>
      <c r="F46" s="6" t="s">
        <v>22</v>
      </c>
      <c r="G46" s="7" t="n">
        <v>45348</v>
      </c>
      <c r="H46" s="6"/>
      <c r="I46" s="8" t="n">
        <v>2650</v>
      </c>
      <c r="J46" s="8" t="n">
        <v>250</v>
      </c>
      <c r="K46" s="8" t="n">
        <f aca="false">ROUND((I46+J46)*0.13,2)</f>
        <v>377</v>
      </c>
      <c r="L46" s="8" t="n">
        <f aca="false">ROUND((I46+J46)*0.0175,2)</f>
        <v>50.75</v>
      </c>
      <c r="M46" s="6"/>
      <c r="N46" s="6" t="s">
        <v>23</v>
      </c>
    </row>
    <row r="47" customFormat="false" ht="15" hidden="false" customHeight="true" outlineLevel="0" collapsed="false">
      <c r="A47" s="6" t="s">
        <v>119</v>
      </c>
      <c r="B47" s="6" t="s">
        <v>120</v>
      </c>
      <c r="C47" s="6" t="s">
        <v>19</v>
      </c>
      <c r="D47" s="6" t="s">
        <v>20</v>
      </c>
      <c r="E47" s="6" t="s">
        <v>21</v>
      </c>
      <c r="F47" s="6" t="s">
        <v>22</v>
      </c>
      <c r="G47" s="7" t="n">
        <v>42255</v>
      </c>
      <c r="H47" s="6"/>
      <c r="I47" s="8" t="n">
        <v>3600</v>
      </c>
      <c r="J47" s="8" t="n">
        <v>400</v>
      </c>
      <c r="K47" s="8" t="n">
        <f aca="false">ROUND((I47+J47)*0.13,2)</f>
        <v>520</v>
      </c>
      <c r="L47" s="8" t="n">
        <f aca="false">ROUND((I47+J47)*0.0175,2)</f>
        <v>70</v>
      </c>
      <c r="M47" s="6" t="n">
        <v>12</v>
      </c>
      <c r="N47" s="6" t="s">
        <v>23</v>
      </c>
    </row>
    <row r="48" customFormat="false" ht="15" hidden="false" customHeight="true" outlineLevel="0" collapsed="false">
      <c r="A48" s="6" t="s">
        <v>121</v>
      </c>
      <c r="B48" s="6" t="s">
        <v>122</v>
      </c>
      <c r="C48" s="6" t="s">
        <v>62</v>
      </c>
      <c r="D48" s="6" t="s">
        <v>27</v>
      </c>
      <c r="E48" s="6" t="s">
        <v>21</v>
      </c>
      <c r="F48" s="6" t="s">
        <v>22</v>
      </c>
      <c r="G48" s="7" t="n">
        <v>45229</v>
      </c>
      <c r="H48" s="6"/>
      <c r="I48" s="8" t="n">
        <v>3400</v>
      </c>
      <c r="J48" s="8" t="n">
        <v>500</v>
      </c>
      <c r="K48" s="8" t="n">
        <f aca="false">ROUND((I48+J48)*0.13,2)</f>
        <v>507</v>
      </c>
      <c r="L48" s="8" t="n">
        <f aca="false">ROUND((I48+J48)*0.0175,2)</f>
        <v>68.25</v>
      </c>
      <c r="M48" s="6" t="n">
        <v>12</v>
      </c>
      <c r="N48" s="6" t="s">
        <v>23</v>
      </c>
    </row>
  </sheetData>
  <autoFilter ref="A5:N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123</v>
      </c>
    </row>
    <row r="2" customFormat="false" ht="15" hidden="false" customHeight="true" outlineLevel="0" collapsed="false">
      <c r="A2" s="4" t="s">
        <v>124</v>
      </c>
    </row>
    <row r="4" customFormat="false" ht="15" hidden="false" customHeight="true" outlineLevel="0" collapsed="false">
      <c r="A4" s="9" t="s">
        <v>125</v>
      </c>
      <c r="B4" s="9" t="s">
        <v>126</v>
      </c>
      <c r="C4" s="9" t="s">
        <v>127</v>
      </c>
    </row>
    <row r="5" customFormat="false" ht="15" hidden="false" customHeight="true" outlineLevel="0" collapsed="false">
      <c r="A5" s="6" t="s">
        <v>128</v>
      </c>
      <c r="B5" s="10" t="n">
        <v>45</v>
      </c>
      <c r="C5" s="11" t="s">
        <v>129</v>
      </c>
    </row>
    <row r="6" customFormat="false" ht="15" hidden="false" customHeight="true" outlineLevel="0" collapsed="false">
      <c r="A6" s="6" t="s">
        <v>130</v>
      </c>
      <c r="B6" s="12" t="n">
        <f aca="false">COUNTA('Payroll Dec 2025'!A6:A48)</f>
        <v>43</v>
      </c>
      <c r="C6" s="11" t="s">
        <v>131</v>
      </c>
    </row>
    <row r="7" customFormat="false" ht="15" hidden="false" customHeight="true" outlineLevel="0" collapsed="false">
      <c r="A7" s="6" t="s">
        <v>132</v>
      </c>
      <c r="B7" s="12" t="n">
        <f aca="false">SUMPRODUCT(1/COUNTIF('Payroll Dec 2025'!A6:A48,'Payroll Dec 2025'!A6:A48))</f>
        <v>42</v>
      </c>
      <c r="C7" s="11" t="s">
        <v>133</v>
      </c>
    </row>
    <row r="9" customFormat="false" ht="15" hidden="false" customHeight="true" outlineLevel="0" collapsed="false">
      <c r="A9" s="6" t="s">
        <v>134</v>
      </c>
      <c r="B9" s="12" t="n">
        <f aca="false">COUNTIF('Payroll Dec 2025'!D6:D48,"M")</f>
        <v>24</v>
      </c>
      <c r="C9" s="11"/>
    </row>
    <row r="10" customFormat="false" ht="15" hidden="false" customHeight="true" outlineLevel="0" collapsed="false">
      <c r="A10" s="6" t="s">
        <v>135</v>
      </c>
      <c r="B10" s="12" t="n">
        <f aca="false">COUNTIF('Payroll Dec 2025'!D6:D48,"F")</f>
        <v>15</v>
      </c>
      <c r="C10" s="11"/>
    </row>
    <row r="11" customFormat="false" ht="15" hidden="false" customHeight="true" outlineLevel="0" collapsed="false">
      <c r="A11" s="6" t="s">
        <v>136</v>
      </c>
      <c r="B11" s="12" t="n">
        <f aca="false">COUNTBLANK('Payroll Dec 2025'!D6:D48)</f>
        <v>4</v>
      </c>
      <c r="C11" s="11" t="s">
        <v>137</v>
      </c>
    </row>
    <row r="12" customFormat="false" ht="15" hidden="false" customHeight="true" outlineLevel="0" collapsed="false">
      <c r="A12" s="6" t="s">
        <v>138</v>
      </c>
      <c r="B12" s="13" t="n">
        <f aca="false">IFERROR(COUNTIF('Payroll Dec 2025'!D6:D48,"F")/(COUNTIF('Payroll Dec 2025'!D6:D48,"M")+COUNTIF('Payroll Dec 2025'!D6:D48,"F")),"n/a")</f>
        <v>0.384615384615385</v>
      </c>
      <c r="C12" s="11" t="s">
        <v>139</v>
      </c>
    </row>
    <row r="14" customFormat="false" ht="15" hidden="false" customHeight="true" outlineLevel="0" collapsed="false">
      <c r="A14" s="6" t="s">
        <v>140</v>
      </c>
      <c r="B14" s="14" t="n">
        <f aca="false">SUM('Payroll Dec 2025'!I6:I48)</f>
        <v>137100</v>
      </c>
      <c r="C14" s="11"/>
    </row>
    <row r="15" customFormat="false" ht="15" hidden="false" customHeight="true" outlineLevel="0" collapsed="false">
      <c r="A15" s="6" t="s">
        <v>141</v>
      </c>
      <c r="B15" s="14" t="n">
        <f aca="false">IFERROR(AVERAGE('Payroll Dec 2025'!I6:I48),"n/a")</f>
        <v>3188.37209302326</v>
      </c>
      <c r="C15" s="11"/>
    </row>
    <row r="16" customFormat="false" ht="15" hidden="false" customHeight="true" outlineLevel="0" collapsed="false">
      <c r="A16" s="6" t="s">
        <v>142</v>
      </c>
      <c r="B16" s="14" t="n">
        <f aca="false">MIN('Payroll Dec 2025'!I6:I48)</f>
        <v>1700</v>
      </c>
      <c r="C16" s="11"/>
    </row>
    <row r="17" customFormat="false" ht="15" hidden="false" customHeight="true" outlineLevel="0" collapsed="false">
      <c r="A17" s="6" t="s">
        <v>143</v>
      </c>
      <c r="B17" s="12" t="n">
        <f aca="false">COUNTIF('Payroll Dec 2025'!I6:I48,"&lt;1700")</f>
        <v>0</v>
      </c>
      <c r="C17" s="11" t="s">
        <v>144</v>
      </c>
    </row>
    <row r="19" customFormat="false" ht="15" hidden="false" customHeight="true" outlineLevel="0" collapsed="false">
      <c r="A19" s="6" t="s">
        <v>145</v>
      </c>
      <c r="B19" s="12" t="n">
        <f aca="false">SUM('Payroll Dec 2025'!M6:M48)</f>
        <v>372</v>
      </c>
      <c r="C19" s="11" t="s">
        <v>146</v>
      </c>
    </row>
    <row r="20" customFormat="false" ht="15" hidden="false" customHeight="true" outlineLevel="0" collapsed="false">
      <c r="A20" s="6" t="s">
        <v>147</v>
      </c>
      <c r="B20" s="12" t="n">
        <f aca="false">COUNTBLANK('Payroll Dec 2025'!M6:M48)</f>
        <v>12</v>
      </c>
      <c r="C20" s="11" t="s">
        <v>148</v>
      </c>
    </row>
    <row r="21" customFormat="false" ht="15" hidden="false" customHeight="true" outlineLevel="0" collapsed="false">
      <c r="A21" s="6" t="s">
        <v>149</v>
      </c>
      <c r="B21" s="12" t="n">
        <f aca="false">IFERROR(AVERAGE('Payroll Dec 2025'!M6:M48),"n/a")</f>
        <v>12</v>
      </c>
      <c r="C21" s="11" t="s">
        <v>150</v>
      </c>
    </row>
    <row r="23" customFormat="false" ht="15" hidden="false" customHeight="true" outlineLevel="0" collapsed="false">
      <c r="A23" s="6" t="s">
        <v>151</v>
      </c>
      <c r="B23" s="12" t="n">
        <f aca="false">COUNTIF('Payroll Dec 2025'!N6:N48,"No")</f>
        <v>2</v>
      </c>
      <c r="C23" s="11"/>
    </row>
    <row r="24" customFormat="false" ht="15" hidden="false" customHeight="true" outlineLevel="0" collapsed="false">
      <c r="A24" s="6" t="s">
        <v>152</v>
      </c>
      <c r="B24" s="12" t="n">
        <f aca="false">SUMPRODUCT(1/COUNTIF('Payroll Dec 2025'!C6:C48,'Payroll Dec 2025'!C6:C48))</f>
        <v>9</v>
      </c>
      <c r="C24" s="11" t="s">
        <v>153</v>
      </c>
    </row>
    <row r="26" customFormat="false" ht="15" hidden="false" customHeight="true" outlineLevel="0" collapsed="false">
      <c r="A26" s="15" t="s">
        <v>154</v>
      </c>
    </row>
    <row r="27" customFormat="false" ht="15" hidden="false" customHeight="true" outlineLevel="0" collapsed="false">
      <c r="A27" s="16" t="s">
        <v>155</v>
      </c>
      <c r="B27" s="17" t="s">
        <v>156</v>
      </c>
      <c r="C27" s="18" t="s">
        <v>157</v>
      </c>
    </row>
    <row r="28" customFormat="false" ht="15" hidden="false" customHeight="true" outlineLevel="0" collapsed="false">
      <c r="A28" s="16" t="s">
        <v>158</v>
      </c>
      <c r="B28" s="17" t="s">
        <v>156</v>
      </c>
      <c r="C28" s="18" t="s">
        <v>157</v>
      </c>
    </row>
    <row r="29" customFormat="false" ht="15" hidden="false" customHeight="true" outlineLevel="0" collapsed="false">
      <c r="A29" s="16" t="s">
        <v>159</v>
      </c>
      <c r="B29" s="17" t="s">
        <v>156</v>
      </c>
      <c r="C29" s="18" t="s">
        <v>157</v>
      </c>
    </row>
    <row r="30" customFormat="false" ht="15" hidden="false" customHeight="true" outlineLevel="0" collapsed="false">
      <c r="A30" s="16" t="s">
        <v>160</v>
      </c>
      <c r="B30" s="17" t="s">
        <v>156</v>
      </c>
      <c r="C30" s="18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2" t="s">
        <v>161</v>
      </c>
    </row>
    <row r="2" customFormat="false" ht="15" hidden="false" customHeight="true" outlineLevel="0" collapsed="false">
      <c r="A2" s="16"/>
    </row>
    <row r="3" customFormat="false" ht="15" hidden="false" customHeight="true" outlineLevel="0" collapsed="false">
      <c r="A3" s="16" t="s">
        <v>162</v>
      </c>
    </row>
    <row r="4" customFormat="false" ht="15" hidden="false" customHeight="true" outlineLevel="0" collapsed="false">
      <c r="A4" s="16" t="s">
        <v>163</v>
      </c>
    </row>
    <row r="5" customFormat="false" ht="15" hidden="false" customHeight="true" outlineLevel="0" collapsed="false">
      <c r="A5" s="16"/>
    </row>
    <row r="6" customFormat="false" ht="15" hidden="false" customHeight="true" outlineLevel="0" collapsed="false">
      <c r="A6" s="3" t="s">
        <v>164</v>
      </c>
    </row>
    <row r="7" customFormat="false" ht="15" hidden="false" customHeight="true" outlineLevel="0" collapsed="false">
      <c r="A7" s="16" t="s">
        <v>165</v>
      </c>
    </row>
    <row r="8" customFormat="false" ht="15" hidden="false" customHeight="true" outlineLevel="0" collapsed="false">
      <c r="A8" s="16" t="s">
        <v>166</v>
      </c>
    </row>
    <row r="9" customFormat="false" ht="15" hidden="false" customHeight="true" outlineLevel="0" collapsed="false">
      <c r="A9" s="16" t="s">
        <v>167</v>
      </c>
    </row>
    <row r="10" customFormat="false" ht="15" hidden="false" customHeight="true" outlineLevel="0" collapsed="false">
      <c r="A10" s="16"/>
    </row>
    <row r="11" customFormat="false" ht="15" hidden="false" customHeight="true" outlineLevel="0" collapsed="false">
      <c r="A11" s="3" t="s">
        <v>168</v>
      </c>
    </row>
    <row r="12" customFormat="false" ht="15" hidden="false" customHeight="true" outlineLevel="0" collapsed="false">
      <c r="A12" s="16" t="s">
        <v>169</v>
      </c>
    </row>
    <row r="13" customFormat="false" ht="15" hidden="false" customHeight="true" outlineLevel="0" collapsed="false">
      <c r="A13" s="16" t="s">
        <v>170</v>
      </c>
    </row>
    <row r="14" customFormat="false" ht="15" hidden="false" customHeight="true" outlineLevel="0" collapsed="false">
      <c r="A14" s="16" t="s">
        <v>171</v>
      </c>
    </row>
    <row r="15" customFormat="false" ht="15" hidden="false" customHeight="true" outlineLevel="0" collapsed="false">
      <c r="A15" s="16"/>
    </row>
    <row r="16" customFormat="false" ht="15" hidden="false" customHeight="true" outlineLevel="0" collapsed="false">
      <c r="A16" s="4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2026-08-22T02:42:39Z</dcterms:created>
  <dc:creator>openpyxl</dc:creator>
  <dc:description/>
  <dc:language>en-US</dc:language>
  <cp:lastModifiedBy/>
  <dcterms:modified xsi:type="dcterms:W3CDTF">2026-08-22T03:21:10Z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